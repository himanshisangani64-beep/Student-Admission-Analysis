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All_Project_Data\EXCEL_PROJECTS\Student_Addmission_Dashboard\"/>
    </mc:Choice>
  </mc:AlternateContent>
  <xr:revisionPtr revIDLastSave="0" documentId="13_ncr:1_{695961F7-1267-48B8-B472-E5CAD5504DED}" xr6:coauthVersionLast="47" xr6:coauthVersionMax="47" xr10:uidLastSave="{00000000-0000-0000-0000-000000000000}"/>
  <bookViews>
    <workbookView xWindow="-120" yWindow="-120" windowWidth="20730" windowHeight="11040" xr2:uid="{7D691C50-8A29-4864-8A21-36741D23AA00}"/>
  </bookViews>
  <sheets>
    <sheet name="Dashboard" sheetId="3" r:id="rId1"/>
    <sheet name="Pivot Table" sheetId="2" r:id="rId2"/>
    <sheet name="Analysis" sheetId="4" r:id="rId3"/>
    <sheet name="Student Admission Data" sheetId="1" r:id="rId4"/>
  </sheets>
  <definedNames>
    <definedName name="_xlnm._FilterDatabase" localSheetId="3" hidden="1">'Student Admission Data'!$A$1:$N$500</definedName>
    <definedName name="Slicer_Branch_City">#N/A</definedName>
    <definedName name="Slicer_Month">#N/A</definedName>
    <definedName name="Slicer_Year">#N/A</definedName>
    <definedName name="Summery">Analysis!$E$3:$G$11</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1" i="4" l="1"/>
  <c r="F11" i="4"/>
  <c r="G6" i="4" a="1"/>
  <c r="G6" i="4" s="1"/>
  <c r="F6" i="4" a="1"/>
  <c r="F6" i="4" s="1"/>
  <c r="F5" i="4" a="1"/>
  <c r="F5" i="4" s="1"/>
  <c r="G5" i="4" a="1"/>
  <c r="G5" i="4" s="1"/>
  <c r="B17" i="4"/>
  <c r="B18" i="4"/>
  <c r="B19" i="4"/>
  <c r="B20" i="4"/>
  <c r="B21" i="4"/>
  <c r="B22" i="4"/>
  <c r="B23" i="4"/>
  <c r="B24" i="4"/>
  <c r="B25" i="4"/>
  <c r="B26" i="4"/>
  <c r="B27" i="4"/>
  <c r="B16" i="4"/>
  <c r="A16" i="4" a="1"/>
  <c r="A16" i="4" s="1"/>
  <c r="A3" i="4" a="1"/>
  <c r="A3" i="4" s="1"/>
  <c r="B3" i="4" s="1"/>
  <c r="O53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O611" i="1"/>
  <c r="O612" i="1"/>
  <c r="O613" i="1"/>
  <c r="O614" i="1"/>
  <c r="O615" i="1"/>
  <c r="O616" i="1"/>
  <c r="O617" i="1"/>
  <c r="O618" i="1"/>
  <c r="O619" i="1"/>
  <c r="O620" i="1"/>
  <c r="O621" i="1"/>
  <c r="O622" i="1"/>
  <c r="O623" i="1"/>
  <c r="O624" i="1"/>
  <c r="O625" i="1"/>
  <c r="P611" i="1"/>
  <c r="P612" i="1"/>
  <c r="P613" i="1"/>
  <c r="P614" i="1"/>
  <c r="P615" i="1"/>
  <c r="P616" i="1"/>
  <c r="P617" i="1"/>
  <c r="P618" i="1"/>
  <c r="P619" i="1"/>
  <c r="P620" i="1"/>
  <c r="P621" i="1"/>
  <c r="P622" i="1"/>
  <c r="P623" i="1"/>
  <c r="P624" i="1"/>
  <c r="P625" i="1"/>
  <c r="Q611" i="1"/>
  <c r="Q612" i="1"/>
  <c r="Q613" i="1"/>
  <c r="Q614" i="1"/>
  <c r="Q615" i="1"/>
  <c r="Q616" i="1"/>
  <c r="Q617" i="1"/>
  <c r="Q618" i="1"/>
  <c r="Q619" i="1"/>
  <c r="Q620" i="1"/>
  <c r="Q621" i="1"/>
  <c r="Q622" i="1"/>
  <c r="Q623" i="1"/>
  <c r="Q624" i="1"/>
  <c r="Q62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O546" i="1"/>
  <c r="O547" i="1"/>
  <c r="O548" i="1"/>
  <c r="O549" i="1"/>
  <c r="O550" i="1"/>
  <c r="O551" i="1"/>
  <c r="O552" i="1"/>
  <c r="O553" i="1"/>
  <c r="O554" i="1"/>
  <c r="O555" i="1"/>
  <c r="P546" i="1"/>
  <c r="P547" i="1"/>
  <c r="P548" i="1"/>
  <c r="P549" i="1"/>
  <c r="P550" i="1"/>
  <c r="P551" i="1"/>
  <c r="P552" i="1"/>
  <c r="P553" i="1"/>
  <c r="P554" i="1"/>
  <c r="P555" i="1"/>
  <c r="Q546" i="1"/>
  <c r="Q547" i="1"/>
  <c r="Q548" i="1"/>
  <c r="Q549" i="1"/>
  <c r="Q550" i="1"/>
  <c r="Q551" i="1"/>
  <c r="Q552" i="1"/>
  <c r="Q553" i="1"/>
  <c r="Q554" i="1"/>
  <c r="Q555" i="1"/>
  <c r="O533" i="1"/>
  <c r="O534" i="1"/>
  <c r="O536" i="1"/>
  <c r="O537" i="1"/>
  <c r="O538" i="1"/>
  <c r="O539" i="1"/>
  <c r="O540" i="1"/>
  <c r="O541" i="1"/>
  <c r="O542" i="1"/>
  <c r="O543" i="1"/>
  <c r="O544" i="1"/>
  <c r="O545" i="1"/>
  <c r="P533" i="1"/>
  <c r="P534" i="1"/>
  <c r="P535" i="1"/>
  <c r="P536" i="1"/>
  <c r="P537" i="1"/>
  <c r="P538" i="1"/>
  <c r="P539" i="1"/>
  <c r="P540" i="1"/>
  <c r="P541" i="1"/>
  <c r="P542" i="1"/>
  <c r="P543" i="1"/>
  <c r="P544" i="1"/>
  <c r="P545" i="1"/>
  <c r="Q533" i="1"/>
  <c r="Q534" i="1"/>
  <c r="Q535" i="1"/>
  <c r="Q536" i="1"/>
  <c r="Q537" i="1"/>
  <c r="Q538" i="1"/>
  <c r="Q539" i="1"/>
  <c r="Q540" i="1"/>
  <c r="Q541" i="1"/>
  <c r="Q542" i="1"/>
  <c r="Q543" i="1"/>
  <c r="Q544" i="1"/>
  <c r="Q545"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A10" i="2"/>
  <c r="B10" i="4" l="1"/>
  <c r="B9" i="4"/>
  <c r="B5" i="4"/>
  <c r="B11" i="4"/>
  <c r="B7" i="4"/>
  <c r="B6" i="4"/>
  <c r="B12" i="4"/>
  <c r="B8" i="4"/>
  <c r="B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<sst xmlns="http://schemas.openxmlformats.org/spreadsheetml/2006/main" count="7922" uniqueCount="1910">
  <si>
    <t>Admission_ID</t>
  </si>
  <si>
    <t>Admission_Date</t>
  </si>
  <si>
    <t>Student_ID</t>
  </si>
  <si>
    <t>Course</t>
  </si>
  <si>
    <t>Admission_Status</t>
  </si>
  <si>
    <t>Student_Name</t>
  </si>
  <si>
    <t>Student_DOB</t>
  </si>
  <si>
    <t>Student_City</t>
  </si>
  <si>
    <t>Branch_City</t>
  </si>
  <si>
    <t>Branch_Area</t>
  </si>
  <si>
    <t>Course_Name</t>
  </si>
  <si>
    <t>Course_Category</t>
  </si>
  <si>
    <t>ADM0001</t>
  </si>
  <si>
    <t>STU0001</t>
  </si>
  <si>
    <t>Rajkot</t>
  </si>
  <si>
    <t>Kalawad Road</t>
  </si>
  <si>
    <t>AI/ML &amp; Data Science</t>
  </si>
  <si>
    <t>Artificial Intelligence</t>
  </si>
  <si>
    <t>ADM0002</t>
  </si>
  <si>
    <t>STU0002</t>
  </si>
  <si>
    <t>Python Programming</t>
  </si>
  <si>
    <t>Programming</t>
  </si>
  <si>
    <t>ADM0003</t>
  </si>
  <si>
    <t>STU0003</t>
  </si>
  <si>
    <t>Data Analytics</t>
  </si>
  <si>
    <t>ADM0004</t>
  </si>
  <si>
    <t>STU0004</t>
  </si>
  <si>
    <t>Amreli</t>
  </si>
  <si>
    <t>Web Technology</t>
  </si>
  <si>
    <t>Web Development</t>
  </si>
  <si>
    <t>ADM0005</t>
  </si>
  <si>
    <t>STU0005</t>
  </si>
  <si>
    <t>Junagadh</t>
  </si>
  <si>
    <t>SQL &amp; Database</t>
  </si>
  <si>
    <t>Database</t>
  </si>
  <si>
    <t>ADM0006</t>
  </si>
  <si>
    <t>STU0006</t>
  </si>
  <si>
    <t>Machine Learning</t>
  </si>
  <si>
    <t>ADM0007</t>
  </si>
  <si>
    <t>STU0007</t>
  </si>
  <si>
    <t>ADM0008</t>
  </si>
  <si>
    <t>STU0008</t>
  </si>
  <si>
    <t>Data Science</t>
  </si>
  <si>
    <t>ADM0009</t>
  </si>
  <si>
    <t>STU0009</t>
  </si>
  <si>
    <t>ADM0010</t>
  </si>
  <si>
    <t>STU0010</t>
  </si>
  <si>
    <t>ADM0011</t>
  </si>
  <si>
    <t>STU0011</t>
  </si>
  <si>
    <t>ADM0012</t>
  </si>
  <si>
    <t>STU0012</t>
  </si>
  <si>
    <t>ADM0013</t>
  </si>
  <si>
    <t>STU0013</t>
  </si>
  <si>
    <t>ADM0014</t>
  </si>
  <si>
    <t>STU0014</t>
  </si>
  <si>
    <t>ADM0015</t>
  </si>
  <si>
    <t>STU0015</t>
  </si>
  <si>
    <t>ADM0016</t>
  </si>
  <si>
    <t>STU0016</t>
  </si>
  <si>
    <t>ADM0017</t>
  </si>
  <si>
    <t>STU0017</t>
  </si>
  <si>
    <t>ADM0018</t>
  </si>
  <si>
    <t>STU0018</t>
  </si>
  <si>
    <t>ADM0019</t>
  </si>
  <si>
    <t>STU0019</t>
  </si>
  <si>
    <t>ADM0020</t>
  </si>
  <si>
    <t>STU0020</t>
  </si>
  <si>
    <t>ADM0021</t>
  </si>
  <si>
    <t>STU0021</t>
  </si>
  <si>
    <t>ADM0022</t>
  </si>
  <si>
    <t>STU0022</t>
  </si>
  <si>
    <t>ADM0023</t>
  </si>
  <si>
    <t>STU0023</t>
  </si>
  <si>
    <t>ADM0024</t>
  </si>
  <si>
    <t>STU0024</t>
  </si>
  <si>
    <t>ADM0025</t>
  </si>
  <si>
    <t>STU0025</t>
  </si>
  <si>
    <t>ADM0026</t>
  </si>
  <si>
    <t>STU0026</t>
  </si>
  <si>
    <t>ADM0027</t>
  </si>
  <si>
    <t>STU0027</t>
  </si>
  <si>
    <t>ADM0028</t>
  </si>
  <si>
    <t>STU0028</t>
  </si>
  <si>
    <t>ADM0029</t>
  </si>
  <si>
    <t>STU0029</t>
  </si>
  <si>
    <t>ADM0030</t>
  </si>
  <si>
    <t>STU0030</t>
  </si>
  <si>
    <t>ADM0031</t>
  </si>
  <si>
    <t>STU0031</t>
  </si>
  <si>
    <t>ADM0032</t>
  </si>
  <si>
    <t>STU0032</t>
  </si>
  <si>
    <t>ADM0033</t>
  </si>
  <si>
    <t>STU0033</t>
  </si>
  <si>
    <t>ADM0034</t>
  </si>
  <si>
    <t>STU0034</t>
  </si>
  <si>
    <t>ADM0035</t>
  </si>
  <si>
    <t>STU0035</t>
  </si>
  <si>
    <t>ADM0036</t>
  </si>
  <si>
    <t>STU0036</t>
  </si>
  <si>
    <t>ADM0037</t>
  </si>
  <si>
    <t>STU0037</t>
  </si>
  <si>
    <t>ADM0038</t>
  </si>
  <si>
    <t>STU0038</t>
  </si>
  <si>
    <t>ADM0039</t>
  </si>
  <si>
    <t>STU0039</t>
  </si>
  <si>
    <t>ADM0040</t>
  </si>
  <si>
    <t>STU0040</t>
  </si>
  <si>
    <t>ADM0041</t>
  </si>
  <si>
    <t>STU0041</t>
  </si>
  <si>
    <t>ADM0042</t>
  </si>
  <si>
    <t>STU0042</t>
  </si>
  <si>
    <t>ADM0043</t>
  </si>
  <si>
    <t>STU0043</t>
  </si>
  <si>
    <t>ADM0044</t>
  </si>
  <si>
    <t>STU0044</t>
  </si>
  <si>
    <t>ADM0045</t>
  </si>
  <si>
    <t>STU0045</t>
  </si>
  <si>
    <t>ADM0046</t>
  </si>
  <si>
    <t>STU0046</t>
  </si>
  <si>
    <t>ADM0047</t>
  </si>
  <si>
    <t>STU0047</t>
  </si>
  <si>
    <t>ADM0048</t>
  </si>
  <si>
    <t>STU0048</t>
  </si>
  <si>
    <t>ADM0049</t>
  </si>
  <si>
    <t>STU0049</t>
  </si>
  <si>
    <t>ADM0050</t>
  </si>
  <si>
    <t>STU0050</t>
  </si>
  <si>
    <t>Surat</t>
  </si>
  <si>
    <t>A.K. Road</t>
  </si>
  <si>
    <t>Ahmedabad</t>
  </si>
  <si>
    <t>Nikol</t>
  </si>
  <si>
    <t>Gandhi Bag</t>
  </si>
  <si>
    <t>Mavdi Main Road</t>
  </si>
  <si>
    <t>Vesu</t>
  </si>
  <si>
    <t>Anand</t>
  </si>
  <si>
    <t>Vidyanagar</t>
  </si>
  <si>
    <t>Navrangpura</t>
  </si>
  <si>
    <t>Dindoli</t>
  </si>
  <si>
    <t>Bhavnagar</t>
  </si>
  <si>
    <t>Adajan</t>
  </si>
  <si>
    <t>Maninagar</t>
  </si>
  <si>
    <t>Ved Road</t>
  </si>
  <si>
    <t>Gandhinagar</t>
  </si>
  <si>
    <t>Chandkheda</t>
  </si>
  <si>
    <t>Mota Varachha</t>
  </si>
  <si>
    <t>Navsari</t>
  </si>
  <si>
    <t>Yogi Chowk</t>
  </si>
  <si>
    <t>Vastral</t>
  </si>
  <si>
    <t>Bharuch</t>
  </si>
  <si>
    <t>ADM0051</t>
  </si>
  <si>
    <t>ADM0052</t>
  </si>
  <si>
    <t>ADM0053</t>
  </si>
  <si>
    <t>ADM0054</t>
  </si>
  <si>
    <t>ADM0055</t>
  </si>
  <si>
    <t>ADM0056</t>
  </si>
  <si>
    <t>ADM0057</t>
  </si>
  <si>
    <t>ADM0058</t>
  </si>
  <si>
    <t>ADM0059</t>
  </si>
  <si>
    <t>ADM0060</t>
  </si>
  <si>
    <t>ADM0061</t>
  </si>
  <si>
    <t>ADM0062</t>
  </si>
  <si>
    <t>ADM0063</t>
  </si>
  <si>
    <t>ADM0064</t>
  </si>
  <si>
    <t>ADM0065</t>
  </si>
  <si>
    <t>ADM0066</t>
  </si>
  <si>
    <t>ADM0067</t>
  </si>
  <si>
    <t>ADM0068</t>
  </si>
  <si>
    <t>ADM0069</t>
  </si>
  <si>
    <t>ADM0070</t>
  </si>
  <si>
    <t>ADM0071</t>
  </si>
  <si>
    <t>ADM0072</t>
  </si>
  <si>
    <t>ADM0073</t>
  </si>
  <si>
    <t>ADM0074</t>
  </si>
  <si>
    <t>ADM0075</t>
  </si>
  <si>
    <t>ADM0076</t>
  </si>
  <si>
    <t>ADM0077</t>
  </si>
  <si>
    <t>ADM0078</t>
  </si>
  <si>
    <t>ADM0079</t>
  </si>
  <si>
    <t>ADM0080</t>
  </si>
  <si>
    <t>ADM0081</t>
  </si>
  <si>
    <t>ADM0082</t>
  </si>
  <si>
    <t>ADM0083</t>
  </si>
  <si>
    <t>ADM0084</t>
  </si>
  <si>
    <t>ADM0085</t>
  </si>
  <si>
    <t>ADM0086</t>
  </si>
  <si>
    <t>ADM0087</t>
  </si>
  <si>
    <t>ADM0088</t>
  </si>
  <si>
    <t>ADM0089</t>
  </si>
  <si>
    <t>ADM0090</t>
  </si>
  <si>
    <t>ADM0091</t>
  </si>
  <si>
    <t>ADM0092</t>
  </si>
  <si>
    <t>ADM0093</t>
  </si>
  <si>
    <t>ADM0094</t>
  </si>
  <si>
    <t>ADM0095</t>
  </si>
  <si>
    <t>ADM0096</t>
  </si>
  <si>
    <t>ADM0097</t>
  </si>
  <si>
    <t>ADM0098</t>
  </si>
  <si>
    <t>ADM0099</t>
  </si>
  <si>
    <t>ADM0100</t>
  </si>
  <si>
    <t>ADM0101</t>
  </si>
  <si>
    <t>ADM0102</t>
  </si>
  <si>
    <t>ADM0103</t>
  </si>
  <si>
    <t>ADM0104</t>
  </si>
  <si>
    <t>ADM0105</t>
  </si>
  <si>
    <t>ADM0106</t>
  </si>
  <si>
    <t>ADM0107</t>
  </si>
  <si>
    <t>ADM0108</t>
  </si>
  <si>
    <t>ADM0109</t>
  </si>
  <si>
    <t>ADM0110</t>
  </si>
  <si>
    <t>ADM0111</t>
  </si>
  <si>
    <t>ADM0112</t>
  </si>
  <si>
    <t>ADM0113</t>
  </si>
  <si>
    <t>ADM0114</t>
  </si>
  <si>
    <t>ADM0115</t>
  </si>
  <si>
    <t>ADM0116</t>
  </si>
  <si>
    <t>ADM0117</t>
  </si>
  <si>
    <t>ADM0118</t>
  </si>
  <si>
    <t>ADM0119</t>
  </si>
  <si>
    <t>ADM0120</t>
  </si>
  <si>
    <t>ADM0121</t>
  </si>
  <si>
    <t>ADM0122</t>
  </si>
  <si>
    <t>ADM0123</t>
  </si>
  <si>
    <t>ADM0124</t>
  </si>
  <si>
    <t>ADM0125</t>
  </si>
  <si>
    <t>ADM0126</t>
  </si>
  <si>
    <t>ADM0127</t>
  </si>
  <si>
    <t>ADM0128</t>
  </si>
  <si>
    <t>ADM0129</t>
  </si>
  <si>
    <t>ADM0130</t>
  </si>
  <si>
    <t>ADM0131</t>
  </si>
  <si>
    <t>ADM0132</t>
  </si>
  <si>
    <t>ADM0133</t>
  </si>
  <si>
    <t>ADM0134</t>
  </si>
  <si>
    <t>ADM0135</t>
  </si>
  <si>
    <t>ADM0136</t>
  </si>
  <si>
    <t>ADM0137</t>
  </si>
  <si>
    <t>ADM0138</t>
  </si>
  <si>
    <t>ADM0139</t>
  </si>
  <si>
    <t>ADM0140</t>
  </si>
  <si>
    <t>ADM0141</t>
  </si>
  <si>
    <t>ADM0142</t>
  </si>
  <si>
    <t>ADM0143</t>
  </si>
  <si>
    <t>ADM0144</t>
  </si>
  <si>
    <t>ADM0145</t>
  </si>
  <si>
    <t>ADM0146</t>
  </si>
  <si>
    <t>ADM0147</t>
  </si>
  <si>
    <t>ADM0148</t>
  </si>
  <si>
    <t>ADM0149</t>
  </si>
  <si>
    <t>ADM0150</t>
  </si>
  <si>
    <t>ADM0151</t>
  </si>
  <si>
    <t>ADM0152</t>
  </si>
  <si>
    <t>ADM0153</t>
  </si>
  <si>
    <t>ADM0154</t>
  </si>
  <si>
    <t>ADM0155</t>
  </si>
  <si>
    <t>ADM0156</t>
  </si>
  <si>
    <t>ADM0157</t>
  </si>
  <si>
    <t>ADM0158</t>
  </si>
  <si>
    <t>ADM0159</t>
  </si>
  <si>
    <t>ADM0160</t>
  </si>
  <si>
    <t>ADM0161</t>
  </si>
  <si>
    <t>ADM0162</t>
  </si>
  <si>
    <t>ADM0163</t>
  </si>
  <si>
    <t>ADM0164</t>
  </si>
  <si>
    <t>ADM0165</t>
  </si>
  <si>
    <t>ADM0166</t>
  </si>
  <si>
    <t>ADM0167</t>
  </si>
  <si>
    <t>ADM0168</t>
  </si>
  <si>
    <t>ADM0169</t>
  </si>
  <si>
    <t>ADM0170</t>
  </si>
  <si>
    <t>ADM0171</t>
  </si>
  <si>
    <t>ADM0172</t>
  </si>
  <si>
    <t>ADM0173</t>
  </si>
  <si>
    <t>ADM0174</t>
  </si>
  <si>
    <t>ADM0175</t>
  </si>
  <si>
    <t>ADM0176</t>
  </si>
  <si>
    <t>ADM0177</t>
  </si>
  <si>
    <t>ADM0178</t>
  </si>
  <si>
    <t>ADM0179</t>
  </si>
  <si>
    <t>ADM0180</t>
  </si>
  <si>
    <t>ADM0181</t>
  </si>
  <si>
    <t>ADM0182</t>
  </si>
  <si>
    <t>ADM0183</t>
  </si>
  <si>
    <t>ADM0184</t>
  </si>
  <si>
    <t>ADM0185</t>
  </si>
  <si>
    <t>ADM0186</t>
  </si>
  <si>
    <t>ADM0187</t>
  </si>
  <si>
    <t>ADM0188</t>
  </si>
  <si>
    <t>ADM0189</t>
  </si>
  <si>
    <t>ADM0190</t>
  </si>
  <si>
    <t>ADM0191</t>
  </si>
  <si>
    <t>ADM0192</t>
  </si>
  <si>
    <t>ADM0193</t>
  </si>
  <si>
    <t>ADM0194</t>
  </si>
  <si>
    <t>ADM0195</t>
  </si>
  <si>
    <t>ADM0196</t>
  </si>
  <si>
    <t>ADM0197</t>
  </si>
  <si>
    <t>ADM0198</t>
  </si>
  <si>
    <t>ADM0199</t>
  </si>
  <si>
    <t>ADM0200</t>
  </si>
  <si>
    <t>ADM0201</t>
  </si>
  <si>
    <t>ADM0202</t>
  </si>
  <si>
    <t>ADM0203</t>
  </si>
  <si>
    <t>ADM0204</t>
  </si>
  <si>
    <t>ADM0205</t>
  </si>
  <si>
    <t>ADM0206</t>
  </si>
  <si>
    <t>ADM0207</t>
  </si>
  <si>
    <t>ADM0208</t>
  </si>
  <si>
    <t>ADM0209</t>
  </si>
  <si>
    <t>ADM0210</t>
  </si>
  <si>
    <t>ADM0211</t>
  </si>
  <si>
    <t>ADM0212</t>
  </si>
  <si>
    <t>ADM0213</t>
  </si>
  <si>
    <t>ADM0214</t>
  </si>
  <si>
    <t>ADM0215</t>
  </si>
  <si>
    <t>ADM0216</t>
  </si>
  <si>
    <t>ADM0217</t>
  </si>
  <si>
    <t>ADM0218</t>
  </si>
  <si>
    <t>ADM0219</t>
  </si>
  <si>
    <t>ADM0220</t>
  </si>
  <si>
    <t>ADM0221</t>
  </si>
  <si>
    <t>ADM0222</t>
  </si>
  <si>
    <t>ADM0223</t>
  </si>
  <si>
    <t>ADM0224</t>
  </si>
  <si>
    <t>ADM0225</t>
  </si>
  <si>
    <t>ADM0226</t>
  </si>
  <si>
    <t>ADM0227</t>
  </si>
  <si>
    <t>ADM0228</t>
  </si>
  <si>
    <t>ADM0229</t>
  </si>
  <si>
    <t>ADM0230</t>
  </si>
  <si>
    <t>ADM0231</t>
  </si>
  <si>
    <t>ADM0232</t>
  </si>
  <si>
    <t>ADM0233</t>
  </si>
  <si>
    <t>ADM0234</t>
  </si>
  <si>
    <t>ADM0235</t>
  </si>
  <si>
    <t>ADM0236</t>
  </si>
  <si>
    <t>ADM0237</t>
  </si>
  <si>
    <t>ADM0238</t>
  </si>
  <si>
    <t>ADM0239</t>
  </si>
  <si>
    <t>ADM0240</t>
  </si>
  <si>
    <t>ADM0241</t>
  </si>
  <si>
    <t>ADM0242</t>
  </si>
  <si>
    <t>ADM0243</t>
  </si>
  <si>
    <t>ADM0244</t>
  </si>
  <si>
    <t>ADM0245</t>
  </si>
  <si>
    <t>ADM0246</t>
  </si>
  <si>
    <t>ADM0247</t>
  </si>
  <si>
    <t>ADM0248</t>
  </si>
  <si>
    <t>ADM0249</t>
  </si>
  <si>
    <t>ADM0250</t>
  </si>
  <si>
    <t>ADM0251</t>
  </si>
  <si>
    <t>ADM0252</t>
  </si>
  <si>
    <t>ADM0253</t>
  </si>
  <si>
    <t>ADM0254</t>
  </si>
  <si>
    <t>ADM0255</t>
  </si>
  <si>
    <t>ADM0256</t>
  </si>
  <si>
    <t>ADM0257</t>
  </si>
  <si>
    <t>ADM0258</t>
  </si>
  <si>
    <t>ADM0259</t>
  </si>
  <si>
    <t>ADM0260</t>
  </si>
  <si>
    <t>ADM0261</t>
  </si>
  <si>
    <t>ADM0262</t>
  </si>
  <si>
    <t>ADM0263</t>
  </si>
  <si>
    <t>ADM0264</t>
  </si>
  <si>
    <t>ADM0265</t>
  </si>
  <si>
    <t>ADM0266</t>
  </si>
  <si>
    <t>ADM0267</t>
  </si>
  <si>
    <t>ADM0268</t>
  </si>
  <si>
    <t>ADM0269</t>
  </si>
  <si>
    <t>ADM0270</t>
  </si>
  <si>
    <t>ADM0271</t>
  </si>
  <si>
    <t>ADM0272</t>
  </si>
  <si>
    <t>ADM0273</t>
  </si>
  <si>
    <t>ADM0274</t>
  </si>
  <si>
    <t>ADM0275</t>
  </si>
  <si>
    <t>ADM0276</t>
  </si>
  <si>
    <t>ADM0277</t>
  </si>
  <si>
    <t>ADM0278</t>
  </si>
  <si>
    <t>ADM0279</t>
  </si>
  <si>
    <t>ADM0280</t>
  </si>
  <si>
    <t>ADM0281</t>
  </si>
  <si>
    <t>ADM0282</t>
  </si>
  <si>
    <t>ADM0283</t>
  </si>
  <si>
    <t>ADM0284</t>
  </si>
  <si>
    <t>ADM0285</t>
  </si>
  <si>
    <t>ADM0286</t>
  </si>
  <si>
    <t>ADM0287</t>
  </si>
  <si>
    <t>ADM0288</t>
  </si>
  <si>
    <t>ADM0289</t>
  </si>
  <si>
    <t>ADM0290</t>
  </si>
  <si>
    <t>ADM0291</t>
  </si>
  <si>
    <t>ADM0292</t>
  </si>
  <si>
    <t>ADM0293</t>
  </si>
  <si>
    <t>ADM0294</t>
  </si>
  <si>
    <t>ADM0295</t>
  </si>
  <si>
    <t>ADM0296</t>
  </si>
  <si>
    <t>ADM0297</t>
  </si>
  <si>
    <t>ADM0298</t>
  </si>
  <si>
    <t>ADM0299</t>
  </si>
  <si>
    <t>ADM0300</t>
  </si>
  <si>
    <t>ADM0301</t>
  </si>
  <si>
    <t>ADM0302</t>
  </si>
  <si>
    <t>ADM0303</t>
  </si>
  <si>
    <t>ADM0304</t>
  </si>
  <si>
    <t>ADM0305</t>
  </si>
  <si>
    <t>ADM0306</t>
  </si>
  <si>
    <t>ADM0307</t>
  </si>
  <si>
    <t>ADM0308</t>
  </si>
  <si>
    <t>ADM0309</t>
  </si>
  <si>
    <t>ADM0310</t>
  </si>
  <si>
    <t>ADM0311</t>
  </si>
  <si>
    <t>ADM0312</t>
  </si>
  <si>
    <t>ADM0313</t>
  </si>
  <si>
    <t>ADM0314</t>
  </si>
  <si>
    <t>ADM0315</t>
  </si>
  <si>
    <t>ADM0316</t>
  </si>
  <si>
    <t>ADM0317</t>
  </si>
  <si>
    <t>ADM0318</t>
  </si>
  <si>
    <t>ADM0319</t>
  </si>
  <si>
    <t>ADM0320</t>
  </si>
  <si>
    <t>ADM0321</t>
  </si>
  <si>
    <t>ADM0322</t>
  </si>
  <si>
    <t>ADM0323</t>
  </si>
  <si>
    <t>ADM0324</t>
  </si>
  <si>
    <t>ADM0325</t>
  </si>
  <si>
    <t>ADM0326</t>
  </si>
  <si>
    <t>ADM0327</t>
  </si>
  <si>
    <t>ADM0328</t>
  </si>
  <si>
    <t>ADM0329</t>
  </si>
  <si>
    <t>ADM0330</t>
  </si>
  <si>
    <t>ADM0331</t>
  </si>
  <si>
    <t>ADM0332</t>
  </si>
  <si>
    <t>ADM0333</t>
  </si>
  <si>
    <t>ADM0334</t>
  </si>
  <si>
    <t>ADM0335</t>
  </si>
  <si>
    <t>ADM0336</t>
  </si>
  <si>
    <t>ADM0337</t>
  </si>
  <si>
    <t>ADM0338</t>
  </si>
  <si>
    <t>ADM0339</t>
  </si>
  <si>
    <t>ADM0340</t>
  </si>
  <si>
    <t>ADM0341</t>
  </si>
  <si>
    <t>ADM0342</t>
  </si>
  <si>
    <t>ADM0343</t>
  </si>
  <si>
    <t>ADM0344</t>
  </si>
  <si>
    <t>ADM0345</t>
  </si>
  <si>
    <t>ADM0346</t>
  </si>
  <si>
    <t>ADM0347</t>
  </si>
  <si>
    <t>ADM0348</t>
  </si>
  <si>
    <t>ADM0349</t>
  </si>
  <si>
    <t>ADM0350</t>
  </si>
  <si>
    <t>ADM0351</t>
  </si>
  <si>
    <t>ADM0352</t>
  </si>
  <si>
    <t>ADM0353</t>
  </si>
  <si>
    <t>ADM0354</t>
  </si>
  <si>
    <t>ADM0355</t>
  </si>
  <si>
    <t>ADM0356</t>
  </si>
  <si>
    <t>ADM0357</t>
  </si>
  <si>
    <t>ADM0358</t>
  </si>
  <si>
    <t>ADM0359</t>
  </si>
  <si>
    <t>ADM0360</t>
  </si>
  <si>
    <t>ADM0361</t>
  </si>
  <si>
    <t>ADM0362</t>
  </si>
  <si>
    <t>ADM0363</t>
  </si>
  <si>
    <t>ADM0364</t>
  </si>
  <si>
    <t>ADM0365</t>
  </si>
  <si>
    <t>ADM0366</t>
  </si>
  <si>
    <t>ADM0367</t>
  </si>
  <si>
    <t>ADM0368</t>
  </si>
  <si>
    <t>ADM0369</t>
  </si>
  <si>
    <t>ADM0370</t>
  </si>
  <si>
    <t>ADM0371</t>
  </si>
  <si>
    <t>ADM0372</t>
  </si>
  <si>
    <t>ADM0373</t>
  </si>
  <si>
    <t>ADM0374</t>
  </si>
  <si>
    <t>ADM0375</t>
  </si>
  <si>
    <t>ADM0376</t>
  </si>
  <si>
    <t>ADM0377</t>
  </si>
  <si>
    <t>ADM0378</t>
  </si>
  <si>
    <t>ADM0379</t>
  </si>
  <si>
    <t>ADM0380</t>
  </si>
  <si>
    <t>ADM0381</t>
  </si>
  <si>
    <t>ADM0382</t>
  </si>
  <si>
    <t>ADM0383</t>
  </si>
  <si>
    <t>ADM0384</t>
  </si>
  <si>
    <t>ADM0385</t>
  </si>
  <si>
    <t>ADM0386</t>
  </si>
  <si>
    <t>ADM0387</t>
  </si>
  <si>
    <t>ADM0388</t>
  </si>
  <si>
    <t>ADM0389</t>
  </si>
  <si>
    <t>ADM0390</t>
  </si>
  <si>
    <t>ADM0391</t>
  </si>
  <si>
    <t>ADM0392</t>
  </si>
  <si>
    <t>ADM0393</t>
  </si>
  <si>
    <t>ADM0394</t>
  </si>
  <si>
    <t>ADM0395</t>
  </si>
  <si>
    <t>ADM0396</t>
  </si>
  <si>
    <t>ADM0397</t>
  </si>
  <si>
    <t>ADM0398</t>
  </si>
  <si>
    <t>ADM0399</t>
  </si>
  <si>
    <t>ADM0400</t>
  </si>
  <si>
    <t>ADM0401</t>
  </si>
  <si>
    <t>ADM0402</t>
  </si>
  <si>
    <t>ADM0403</t>
  </si>
  <si>
    <t>ADM0404</t>
  </si>
  <si>
    <t>ADM0405</t>
  </si>
  <si>
    <t>ADM0406</t>
  </si>
  <si>
    <t>ADM0407</t>
  </si>
  <si>
    <t>ADM0408</t>
  </si>
  <si>
    <t>ADM0409</t>
  </si>
  <si>
    <t>ADM0410</t>
  </si>
  <si>
    <t>ADM0411</t>
  </si>
  <si>
    <t>ADM0412</t>
  </si>
  <si>
    <t>ADM0413</t>
  </si>
  <si>
    <t>ADM0414</t>
  </si>
  <si>
    <t>ADM0415</t>
  </si>
  <si>
    <t>ADM0416</t>
  </si>
  <si>
    <t>ADM0417</t>
  </si>
  <si>
    <t>ADM0418</t>
  </si>
  <si>
    <t>ADM0419</t>
  </si>
  <si>
    <t>ADM0420</t>
  </si>
  <si>
    <t>ADM0421</t>
  </si>
  <si>
    <t>ADM0422</t>
  </si>
  <si>
    <t>ADM0423</t>
  </si>
  <si>
    <t>ADM0424</t>
  </si>
  <si>
    <t>ADM0425</t>
  </si>
  <si>
    <t>ADM0426</t>
  </si>
  <si>
    <t>ADM0427</t>
  </si>
  <si>
    <t>ADM0428</t>
  </si>
  <si>
    <t>ADM0429</t>
  </si>
  <si>
    <t>ADM0430</t>
  </si>
  <si>
    <t>ADM0431</t>
  </si>
  <si>
    <t>ADM0432</t>
  </si>
  <si>
    <t>ADM0433</t>
  </si>
  <si>
    <t>ADM0434</t>
  </si>
  <si>
    <t>ADM0435</t>
  </si>
  <si>
    <t>ADM0436</t>
  </si>
  <si>
    <t>ADM0437</t>
  </si>
  <si>
    <t>ADM0438</t>
  </si>
  <si>
    <t>ADM0439</t>
  </si>
  <si>
    <t>ADM0440</t>
  </si>
  <si>
    <t>ADM0441</t>
  </si>
  <si>
    <t>ADM0442</t>
  </si>
  <si>
    <t>ADM0443</t>
  </si>
  <si>
    <t>ADM0444</t>
  </si>
  <si>
    <t>ADM0445</t>
  </si>
  <si>
    <t>ADM0446</t>
  </si>
  <si>
    <t>ADM0447</t>
  </si>
  <si>
    <t>ADM0448</t>
  </si>
  <si>
    <t>ADM0449</t>
  </si>
  <si>
    <t>ADM0450</t>
  </si>
  <si>
    <t>ADM0451</t>
  </si>
  <si>
    <t>ADM0452</t>
  </si>
  <si>
    <t>ADM0453</t>
  </si>
  <si>
    <t>ADM0454</t>
  </si>
  <si>
    <t>ADM0455</t>
  </si>
  <si>
    <t>ADM0456</t>
  </si>
  <si>
    <t>ADM0457</t>
  </si>
  <si>
    <t>ADM0458</t>
  </si>
  <si>
    <t>ADM0459</t>
  </si>
  <si>
    <t>ADM0460</t>
  </si>
  <si>
    <t>ADM0461</t>
  </si>
  <si>
    <t>ADM0462</t>
  </si>
  <si>
    <t>ADM0463</t>
  </si>
  <si>
    <t>ADM0464</t>
  </si>
  <si>
    <t>ADM0465</t>
  </si>
  <si>
    <t>ADM0466</t>
  </si>
  <si>
    <t>ADM0467</t>
  </si>
  <si>
    <t>ADM0468</t>
  </si>
  <si>
    <t>ADM0469</t>
  </si>
  <si>
    <t>ADM0470</t>
  </si>
  <si>
    <t>ADM0471</t>
  </si>
  <si>
    <t>ADM0472</t>
  </si>
  <si>
    <t>ADM0473</t>
  </si>
  <si>
    <t>ADM0474</t>
  </si>
  <si>
    <t>ADM0475</t>
  </si>
  <si>
    <t>ADM0476</t>
  </si>
  <si>
    <t>ADM0477</t>
  </si>
  <si>
    <t>ADM0478</t>
  </si>
  <si>
    <t>ADM0479</t>
  </si>
  <si>
    <t>ADM0480</t>
  </si>
  <si>
    <t>ADM0481</t>
  </si>
  <si>
    <t>ADM0482</t>
  </si>
  <si>
    <t>ADM0483</t>
  </si>
  <si>
    <t>ADM0484</t>
  </si>
  <si>
    <t>ADM0485</t>
  </si>
  <si>
    <t>ADM0486</t>
  </si>
  <si>
    <t>ADM0487</t>
  </si>
  <si>
    <t>ADM0488</t>
  </si>
  <si>
    <t>ADM0489</t>
  </si>
  <si>
    <t>ADM0490</t>
  </si>
  <si>
    <t>ADM0491</t>
  </si>
  <si>
    <t>ADM0492</t>
  </si>
  <si>
    <t>ADM0493</t>
  </si>
  <si>
    <t>ADM0494</t>
  </si>
  <si>
    <t>ADM0495</t>
  </si>
  <si>
    <t>ADM0496</t>
  </si>
  <si>
    <t>ADM0497</t>
  </si>
  <si>
    <t>ADM0498</t>
  </si>
  <si>
    <t>ADM0499</t>
  </si>
  <si>
    <t>STU0051</t>
  </si>
  <si>
    <t>STU0052</t>
  </si>
  <si>
    <t>STU0053</t>
  </si>
  <si>
    <t>STU0054</t>
  </si>
  <si>
    <t>STU0055</t>
  </si>
  <si>
    <t>STU0056</t>
  </si>
  <si>
    <t>STU0057</t>
  </si>
  <si>
    <t>STU0058</t>
  </si>
  <si>
    <t>STU0059</t>
  </si>
  <si>
    <t>STU0060</t>
  </si>
  <si>
    <t>STU0061</t>
  </si>
  <si>
    <t>STU0062</t>
  </si>
  <si>
    <t>STU0063</t>
  </si>
  <si>
    <t>STU0064</t>
  </si>
  <si>
    <t>STU0065</t>
  </si>
  <si>
    <t>STU0066</t>
  </si>
  <si>
    <t>STU0067</t>
  </si>
  <si>
    <t>STU0068</t>
  </si>
  <si>
    <t>STU0069</t>
  </si>
  <si>
    <t>STU0070</t>
  </si>
  <si>
    <t>STU0071</t>
  </si>
  <si>
    <t>STU0072</t>
  </si>
  <si>
    <t>STU0073</t>
  </si>
  <si>
    <t>STU0074</t>
  </si>
  <si>
    <t>STU0075</t>
  </si>
  <si>
    <t>STU0076</t>
  </si>
  <si>
    <t>STU0077</t>
  </si>
  <si>
    <t>STU0078</t>
  </si>
  <si>
    <t>STU0079</t>
  </si>
  <si>
    <t>STU0080</t>
  </si>
  <si>
    <t>STU0081</t>
  </si>
  <si>
    <t>STU0082</t>
  </si>
  <si>
    <t>STU0083</t>
  </si>
  <si>
    <t>STU0084</t>
  </si>
  <si>
    <t>STU0085</t>
  </si>
  <si>
    <t>STU0086</t>
  </si>
  <si>
    <t>STU0087</t>
  </si>
  <si>
    <t>STU0088</t>
  </si>
  <si>
    <t>STU0089</t>
  </si>
  <si>
    <t>STU0090</t>
  </si>
  <si>
    <t>STU0091</t>
  </si>
  <si>
    <t>STU0092</t>
  </si>
  <si>
    <t>STU0093</t>
  </si>
  <si>
    <t>STU0094</t>
  </si>
  <si>
    <t>STU0095</t>
  </si>
  <si>
    <t>STU0096</t>
  </si>
  <si>
    <t>STU0097</t>
  </si>
  <si>
    <t>STU0098</t>
  </si>
  <si>
    <t>STU0099</t>
  </si>
  <si>
    <t>STU0100</t>
  </si>
  <si>
    <t>STU0101</t>
  </si>
  <si>
    <t>STU0102</t>
  </si>
  <si>
    <t>STU0103</t>
  </si>
  <si>
    <t>STU0104</t>
  </si>
  <si>
    <t>STU0105</t>
  </si>
  <si>
    <t>STU0106</t>
  </si>
  <si>
    <t>STU0107</t>
  </si>
  <si>
    <t>STU0108</t>
  </si>
  <si>
    <t>STU0109</t>
  </si>
  <si>
    <t>STU0110</t>
  </si>
  <si>
    <t>STU0111</t>
  </si>
  <si>
    <t>STU0112</t>
  </si>
  <si>
    <t>STU0113</t>
  </si>
  <si>
    <t>STU0114</t>
  </si>
  <si>
    <t>STU0115</t>
  </si>
  <si>
    <t>STU0116</t>
  </si>
  <si>
    <t>STU0117</t>
  </si>
  <si>
    <t>STU0118</t>
  </si>
  <si>
    <t>STU0119</t>
  </si>
  <si>
    <t>STU0120</t>
  </si>
  <si>
    <t>STU0121</t>
  </si>
  <si>
    <t>STU0122</t>
  </si>
  <si>
    <t>STU0123</t>
  </si>
  <si>
    <t>STU0124</t>
  </si>
  <si>
    <t>STU0125</t>
  </si>
  <si>
    <t>STU0126</t>
  </si>
  <si>
    <t>STU0127</t>
  </si>
  <si>
    <t>STU0128</t>
  </si>
  <si>
    <t>STU0129</t>
  </si>
  <si>
    <t>STU0130</t>
  </si>
  <si>
    <t>STU0131</t>
  </si>
  <si>
    <t>STU0132</t>
  </si>
  <si>
    <t>STU0133</t>
  </si>
  <si>
    <t>STU0134</t>
  </si>
  <si>
    <t>STU0135</t>
  </si>
  <si>
    <t>STU0136</t>
  </si>
  <si>
    <t>STU0137</t>
  </si>
  <si>
    <t>STU0138</t>
  </si>
  <si>
    <t>STU0139</t>
  </si>
  <si>
    <t>STU0140</t>
  </si>
  <si>
    <t>STU0141</t>
  </si>
  <si>
    <t>STU0142</t>
  </si>
  <si>
    <t>STU0143</t>
  </si>
  <si>
    <t>STU0144</t>
  </si>
  <si>
    <t>STU0145</t>
  </si>
  <si>
    <t>STU0146</t>
  </si>
  <si>
    <t>STU0147</t>
  </si>
  <si>
    <t>STU0148</t>
  </si>
  <si>
    <t>STU0149</t>
  </si>
  <si>
    <t>STU0150</t>
  </si>
  <si>
    <t>STU0151</t>
  </si>
  <si>
    <t>STU0152</t>
  </si>
  <si>
    <t>STU0153</t>
  </si>
  <si>
    <t>STU0154</t>
  </si>
  <si>
    <t>STU0155</t>
  </si>
  <si>
    <t>STU0156</t>
  </si>
  <si>
    <t>STU0157</t>
  </si>
  <si>
    <t>STU0158</t>
  </si>
  <si>
    <t>STU0159</t>
  </si>
  <si>
    <t>STU0160</t>
  </si>
  <si>
    <t>STU0161</t>
  </si>
  <si>
    <t>STU0162</t>
  </si>
  <si>
    <t>STU0163</t>
  </si>
  <si>
    <t>STU0164</t>
  </si>
  <si>
    <t>STU0165</t>
  </si>
  <si>
    <t>STU0166</t>
  </si>
  <si>
    <t>STU0167</t>
  </si>
  <si>
    <t>STU0168</t>
  </si>
  <si>
    <t>STU0169</t>
  </si>
  <si>
    <t>STU0170</t>
  </si>
  <si>
    <t>STU0171</t>
  </si>
  <si>
    <t>STU0172</t>
  </si>
  <si>
    <t>STU0173</t>
  </si>
  <si>
    <t>STU0174</t>
  </si>
  <si>
    <t>STU0175</t>
  </si>
  <si>
    <t>STU0176</t>
  </si>
  <si>
    <t>STU0177</t>
  </si>
  <si>
    <t>STU0178</t>
  </si>
  <si>
    <t>STU0179</t>
  </si>
  <si>
    <t>STU0180</t>
  </si>
  <si>
    <t>STU0181</t>
  </si>
  <si>
    <t>STU0182</t>
  </si>
  <si>
    <t>STU0183</t>
  </si>
  <si>
    <t>STU0184</t>
  </si>
  <si>
    <t>STU0185</t>
  </si>
  <si>
    <t>STU0186</t>
  </si>
  <si>
    <t>STU0187</t>
  </si>
  <si>
    <t>STU0188</t>
  </si>
  <si>
    <t>STU0189</t>
  </si>
  <si>
    <t>STU0190</t>
  </si>
  <si>
    <t>STU0191</t>
  </si>
  <si>
    <t>STU0192</t>
  </si>
  <si>
    <t>STU0193</t>
  </si>
  <si>
    <t>STU0194</t>
  </si>
  <si>
    <t>STU0195</t>
  </si>
  <si>
    <t>STU0196</t>
  </si>
  <si>
    <t>STU0197</t>
  </si>
  <si>
    <t>STU0198</t>
  </si>
  <si>
    <t>STU0199</t>
  </si>
  <si>
    <t>STU0200</t>
  </si>
  <si>
    <t>STU0201</t>
  </si>
  <si>
    <t>STU0202</t>
  </si>
  <si>
    <t>STU0203</t>
  </si>
  <si>
    <t>STU0204</t>
  </si>
  <si>
    <t>STU0205</t>
  </si>
  <si>
    <t>STU0206</t>
  </si>
  <si>
    <t>STU0207</t>
  </si>
  <si>
    <t>STU0208</t>
  </si>
  <si>
    <t>STU0209</t>
  </si>
  <si>
    <t>STU0210</t>
  </si>
  <si>
    <t>STU0211</t>
  </si>
  <si>
    <t>STU0212</t>
  </si>
  <si>
    <t>STU0213</t>
  </si>
  <si>
    <t>STU0214</t>
  </si>
  <si>
    <t>STU0215</t>
  </si>
  <si>
    <t>STU0216</t>
  </si>
  <si>
    <t>STU0217</t>
  </si>
  <si>
    <t>STU0218</t>
  </si>
  <si>
    <t>STU0219</t>
  </si>
  <si>
    <t>STU0220</t>
  </si>
  <si>
    <t>STU0221</t>
  </si>
  <si>
    <t>STU0222</t>
  </si>
  <si>
    <t>STU0223</t>
  </si>
  <si>
    <t>STU0224</t>
  </si>
  <si>
    <t>STU0225</t>
  </si>
  <si>
    <t>STU0226</t>
  </si>
  <si>
    <t>STU0227</t>
  </si>
  <si>
    <t>STU0228</t>
  </si>
  <si>
    <t>STU0229</t>
  </si>
  <si>
    <t>STU0230</t>
  </si>
  <si>
    <t>STU0231</t>
  </si>
  <si>
    <t>STU0232</t>
  </si>
  <si>
    <t>STU0233</t>
  </si>
  <si>
    <t>STU0234</t>
  </si>
  <si>
    <t>STU0235</t>
  </si>
  <si>
    <t>STU0236</t>
  </si>
  <si>
    <t>STU0237</t>
  </si>
  <si>
    <t>STU0238</t>
  </si>
  <si>
    <t>STU0239</t>
  </si>
  <si>
    <t>STU0240</t>
  </si>
  <si>
    <t>STU0241</t>
  </si>
  <si>
    <t>STU0242</t>
  </si>
  <si>
    <t>STU0243</t>
  </si>
  <si>
    <t>STU0244</t>
  </si>
  <si>
    <t>STU0245</t>
  </si>
  <si>
    <t>STU0246</t>
  </si>
  <si>
    <t>STU0247</t>
  </si>
  <si>
    <t>STU0248</t>
  </si>
  <si>
    <t>STU0249</t>
  </si>
  <si>
    <t>STU0250</t>
  </si>
  <si>
    <t>STU0251</t>
  </si>
  <si>
    <t>STU0252</t>
  </si>
  <si>
    <t>STU0253</t>
  </si>
  <si>
    <t>STU0254</t>
  </si>
  <si>
    <t>STU0255</t>
  </si>
  <si>
    <t>STU0256</t>
  </si>
  <si>
    <t>STU0257</t>
  </si>
  <si>
    <t>STU0258</t>
  </si>
  <si>
    <t>STU0259</t>
  </si>
  <si>
    <t>STU0260</t>
  </si>
  <si>
    <t>STU0261</t>
  </si>
  <si>
    <t>STU0262</t>
  </si>
  <si>
    <t>STU0263</t>
  </si>
  <si>
    <t>STU0264</t>
  </si>
  <si>
    <t>STU0265</t>
  </si>
  <si>
    <t>STU0266</t>
  </si>
  <si>
    <t>STU0267</t>
  </si>
  <si>
    <t>STU0268</t>
  </si>
  <si>
    <t>STU0269</t>
  </si>
  <si>
    <t>STU0270</t>
  </si>
  <si>
    <t>STU0271</t>
  </si>
  <si>
    <t>STU0272</t>
  </si>
  <si>
    <t>STU0273</t>
  </si>
  <si>
    <t>STU0274</t>
  </si>
  <si>
    <t>STU0275</t>
  </si>
  <si>
    <t>STU0276</t>
  </si>
  <si>
    <t>STU0277</t>
  </si>
  <si>
    <t>STU0278</t>
  </si>
  <si>
    <t>STU0279</t>
  </si>
  <si>
    <t>STU0280</t>
  </si>
  <si>
    <t>STU0281</t>
  </si>
  <si>
    <t>STU0282</t>
  </si>
  <si>
    <t>STU0283</t>
  </si>
  <si>
    <t>STU0284</t>
  </si>
  <si>
    <t>STU0285</t>
  </si>
  <si>
    <t>STU0286</t>
  </si>
  <si>
    <t>STU0287</t>
  </si>
  <si>
    <t>STU0288</t>
  </si>
  <si>
    <t>STU0289</t>
  </si>
  <si>
    <t>STU0290</t>
  </si>
  <si>
    <t>STU0291</t>
  </si>
  <si>
    <t>STU0292</t>
  </si>
  <si>
    <t>STU0293</t>
  </si>
  <si>
    <t>STU0294</t>
  </si>
  <si>
    <t>STU0295</t>
  </si>
  <si>
    <t>STU0296</t>
  </si>
  <si>
    <t>STU0297</t>
  </si>
  <si>
    <t>STU0298</t>
  </si>
  <si>
    <t>STU0299</t>
  </si>
  <si>
    <t>STU0300</t>
  </si>
  <si>
    <t>STU0301</t>
  </si>
  <si>
    <t>STU0302</t>
  </si>
  <si>
    <t>STU0303</t>
  </si>
  <si>
    <t>STU0304</t>
  </si>
  <si>
    <t>STU0305</t>
  </si>
  <si>
    <t>STU0306</t>
  </si>
  <si>
    <t>STU0307</t>
  </si>
  <si>
    <t>STU0308</t>
  </si>
  <si>
    <t>STU0309</t>
  </si>
  <si>
    <t>STU0310</t>
  </si>
  <si>
    <t>STU0311</t>
  </si>
  <si>
    <t>STU0312</t>
  </si>
  <si>
    <t>STU0313</t>
  </si>
  <si>
    <t>STU0314</t>
  </si>
  <si>
    <t>STU0315</t>
  </si>
  <si>
    <t>STU0316</t>
  </si>
  <si>
    <t>STU0317</t>
  </si>
  <si>
    <t>STU0318</t>
  </si>
  <si>
    <t>STU0319</t>
  </si>
  <si>
    <t>STU0320</t>
  </si>
  <si>
    <t>STU0321</t>
  </si>
  <si>
    <t>STU0322</t>
  </si>
  <si>
    <t>STU0323</t>
  </si>
  <si>
    <t>STU0324</t>
  </si>
  <si>
    <t>STU0325</t>
  </si>
  <si>
    <t>STU0326</t>
  </si>
  <si>
    <t>STU0327</t>
  </si>
  <si>
    <t>STU0328</t>
  </si>
  <si>
    <t>STU0329</t>
  </si>
  <si>
    <t>STU0330</t>
  </si>
  <si>
    <t>STU0331</t>
  </si>
  <si>
    <t>STU0332</t>
  </si>
  <si>
    <t>STU0333</t>
  </si>
  <si>
    <t>STU0334</t>
  </si>
  <si>
    <t>STU0335</t>
  </si>
  <si>
    <t>STU0336</t>
  </si>
  <si>
    <t>STU0337</t>
  </si>
  <si>
    <t>STU0338</t>
  </si>
  <si>
    <t>STU0339</t>
  </si>
  <si>
    <t>STU0340</t>
  </si>
  <si>
    <t>STU0341</t>
  </si>
  <si>
    <t>STU0342</t>
  </si>
  <si>
    <t>STU0343</t>
  </si>
  <si>
    <t>STU0344</t>
  </si>
  <si>
    <t>STU0345</t>
  </si>
  <si>
    <t>STU0346</t>
  </si>
  <si>
    <t>STU0347</t>
  </si>
  <si>
    <t>STU0348</t>
  </si>
  <si>
    <t>STU0349</t>
  </si>
  <si>
    <t>STU0350</t>
  </si>
  <si>
    <t>STU0351</t>
  </si>
  <si>
    <t>STU0352</t>
  </si>
  <si>
    <t>STU0353</t>
  </si>
  <si>
    <t>STU0354</t>
  </si>
  <si>
    <t>STU0355</t>
  </si>
  <si>
    <t>STU0356</t>
  </si>
  <si>
    <t>STU0357</t>
  </si>
  <si>
    <t>STU0358</t>
  </si>
  <si>
    <t>STU0359</t>
  </si>
  <si>
    <t>STU0360</t>
  </si>
  <si>
    <t>STU0361</t>
  </si>
  <si>
    <t>STU0362</t>
  </si>
  <si>
    <t>STU0363</t>
  </si>
  <si>
    <t>STU0364</t>
  </si>
  <si>
    <t>STU0365</t>
  </si>
  <si>
    <t>STU0366</t>
  </si>
  <si>
    <t>STU0367</t>
  </si>
  <si>
    <t>STU0368</t>
  </si>
  <si>
    <t>STU0369</t>
  </si>
  <si>
    <t>STU0370</t>
  </si>
  <si>
    <t>STU0371</t>
  </si>
  <si>
    <t>STU0372</t>
  </si>
  <si>
    <t>STU0373</t>
  </si>
  <si>
    <t>STU0374</t>
  </si>
  <si>
    <t>STU0375</t>
  </si>
  <si>
    <t>STU0376</t>
  </si>
  <si>
    <t>STU0377</t>
  </si>
  <si>
    <t>STU0378</t>
  </si>
  <si>
    <t>STU0379</t>
  </si>
  <si>
    <t>STU0380</t>
  </si>
  <si>
    <t>STU0381</t>
  </si>
  <si>
    <t>STU0382</t>
  </si>
  <si>
    <t>STU0383</t>
  </si>
  <si>
    <t>STU0384</t>
  </si>
  <si>
    <t>STU0385</t>
  </si>
  <si>
    <t>STU0386</t>
  </si>
  <si>
    <t>STU0387</t>
  </si>
  <si>
    <t>STU0388</t>
  </si>
  <si>
    <t>STU0389</t>
  </si>
  <si>
    <t>STU0390</t>
  </si>
  <si>
    <t>STU0391</t>
  </si>
  <si>
    <t>STU0392</t>
  </si>
  <si>
    <t>STU0393</t>
  </si>
  <si>
    <t>STU0394</t>
  </si>
  <si>
    <t>STU0395</t>
  </si>
  <si>
    <t>STU0396</t>
  </si>
  <si>
    <t>STU0397</t>
  </si>
  <si>
    <t>STU0398</t>
  </si>
  <si>
    <t>STU0399</t>
  </si>
  <si>
    <t>STU0400</t>
  </si>
  <si>
    <t>STU0401</t>
  </si>
  <si>
    <t>STU0402</t>
  </si>
  <si>
    <t>STU0403</t>
  </si>
  <si>
    <t>STU0404</t>
  </si>
  <si>
    <t>STU0405</t>
  </si>
  <si>
    <t>STU0406</t>
  </si>
  <si>
    <t>STU0407</t>
  </si>
  <si>
    <t>STU0408</t>
  </si>
  <si>
    <t>STU0409</t>
  </si>
  <si>
    <t>STU0410</t>
  </si>
  <si>
    <t>STU0411</t>
  </si>
  <si>
    <t>STU0412</t>
  </si>
  <si>
    <t>STU0413</t>
  </si>
  <si>
    <t>STU0414</t>
  </si>
  <si>
    <t>STU0415</t>
  </si>
  <si>
    <t>STU0416</t>
  </si>
  <si>
    <t>STU0417</t>
  </si>
  <si>
    <t>STU0418</t>
  </si>
  <si>
    <t>STU0419</t>
  </si>
  <si>
    <t>STU0420</t>
  </si>
  <si>
    <t>STU0421</t>
  </si>
  <si>
    <t>STU0422</t>
  </si>
  <si>
    <t>STU0423</t>
  </si>
  <si>
    <t>STU0424</t>
  </si>
  <si>
    <t>STU0425</t>
  </si>
  <si>
    <t>STU0426</t>
  </si>
  <si>
    <t>STU0427</t>
  </si>
  <si>
    <t>STU0428</t>
  </si>
  <si>
    <t>STU0429</t>
  </si>
  <si>
    <t>STU0430</t>
  </si>
  <si>
    <t>STU0431</t>
  </si>
  <si>
    <t>STU0432</t>
  </si>
  <si>
    <t>STU0433</t>
  </si>
  <si>
    <t>STU0434</t>
  </si>
  <si>
    <t>STU0435</t>
  </si>
  <si>
    <t>STU0436</t>
  </si>
  <si>
    <t>STU0437</t>
  </si>
  <si>
    <t>STU0438</t>
  </si>
  <si>
    <t>STU0439</t>
  </si>
  <si>
    <t>STU0440</t>
  </si>
  <si>
    <t>STU0441</t>
  </si>
  <si>
    <t>STU0442</t>
  </si>
  <si>
    <t>STU0443</t>
  </si>
  <si>
    <t>STU0444</t>
  </si>
  <si>
    <t>STU0445</t>
  </si>
  <si>
    <t>STU0446</t>
  </si>
  <si>
    <t>STU0447</t>
  </si>
  <si>
    <t>STU0448</t>
  </si>
  <si>
    <t>STU0449</t>
  </si>
  <si>
    <t>STU0450</t>
  </si>
  <si>
    <t>STU0451</t>
  </si>
  <si>
    <t>STU0452</t>
  </si>
  <si>
    <t>STU0453</t>
  </si>
  <si>
    <t>STU0454</t>
  </si>
  <si>
    <t>STU0455</t>
  </si>
  <si>
    <t>STU0456</t>
  </si>
  <si>
    <t>STU0457</t>
  </si>
  <si>
    <t>STU0458</t>
  </si>
  <si>
    <t>STU0459</t>
  </si>
  <si>
    <t>STU0460</t>
  </si>
  <si>
    <t>STU0461</t>
  </si>
  <si>
    <t>STU0462</t>
  </si>
  <si>
    <t>STU0463</t>
  </si>
  <si>
    <t>STU0464</t>
  </si>
  <si>
    <t>STU0465</t>
  </si>
  <si>
    <t>STU0466</t>
  </si>
  <si>
    <t>STU0467</t>
  </si>
  <si>
    <t>STU0468</t>
  </si>
  <si>
    <t>STU0469</t>
  </si>
  <si>
    <t>STU0470</t>
  </si>
  <si>
    <t>STU0471</t>
  </si>
  <si>
    <t>STU0472</t>
  </si>
  <si>
    <t>STU0473</t>
  </si>
  <si>
    <t>STU0474</t>
  </si>
  <si>
    <t>STU0475</t>
  </si>
  <si>
    <t>STU0476</t>
  </si>
  <si>
    <t>STU0477</t>
  </si>
  <si>
    <t>STU0478</t>
  </si>
  <si>
    <t>STU0479</t>
  </si>
  <si>
    <t>STU0480</t>
  </si>
  <si>
    <t>STU0481</t>
  </si>
  <si>
    <t>STU0482</t>
  </si>
  <si>
    <t>STU0483</t>
  </si>
  <si>
    <t>STU0484</t>
  </si>
  <si>
    <t>STU0485</t>
  </si>
  <si>
    <t>STU0486</t>
  </si>
  <si>
    <t>STU0487</t>
  </si>
  <si>
    <t>STU0488</t>
  </si>
  <si>
    <t>STU0489</t>
  </si>
  <si>
    <t>STU0490</t>
  </si>
  <si>
    <t>STU0491</t>
  </si>
  <si>
    <t>STU0492</t>
  </si>
  <si>
    <t>STU0493</t>
  </si>
  <si>
    <t>STU0494</t>
  </si>
  <si>
    <t>STU0495</t>
  </si>
  <si>
    <t>STU0496</t>
  </si>
  <si>
    <t>STU0497</t>
  </si>
  <si>
    <t>STU0498</t>
  </si>
  <si>
    <t>STU0499</t>
  </si>
  <si>
    <t>UI/UX &amp; Graphic Design</t>
  </si>
  <si>
    <t>Design</t>
  </si>
  <si>
    <t>Graphic Design &amp; Video Editing</t>
  </si>
  <si>
    <t>Design &amp; Video Editing</t>
  </si>
  <si>
    <t>Adobe Photoshop</t>
  </si>
  <si>
    <t>Graphic Design</t>
  </si>
  <si>
    <t>CorelDRAW</t>
  </si>
  <si>
    <t>DTP (Desktop Publishing)</t>
  </si>
  <si>
    <t>UI/UX Design</t>
  </si>
  <si>
    <t>AI &amp; Data Science</t>
  </si>
  <si>
    <t>Game Design &amp; Development</t>
  </si>
  <si>
    <t>Game Development</t>
  </si>
  <si>
    <t>Cyber Security</t>
  </si>
  <si>
    <t>Data Structure &amp; Algorithm</t>
  </si>
  <si>
    <t>Ayesha Khan</t>
  </si>
  <si>
    <t>Jash Patel</t>
  </si>
  <si>
    <t>Vivaan Chavda</t>
  </si>
  <si>
    <t>Anaya Bhandari</t>
  </si>
  <si>
    <t>Ritesh Gohil</t>
  </si>
  <si>
    <t>Mahi Solanki</t>
  </si>
  <si>
    <t>Kavish Vora</t>
  </si>
  <si>
    <t>Tanvi Makwana</t>
  </si>
  <si>
    <t>Dhruv Baria</t>
  </si>
  <si>
    <t>Ishani Zala</t>
  </si>
  <si>
    <t>Pratham Dabhi</t>
  </si>
  <si>
    <t>Nandini Rathwa</t>
  </si>
  <si>
    <t>Yash Jadeja</t>
  </si>
  <si>
    <t>Aarohi Vaghela</t>
  </si>
  <si>
    <t>Samar Khatri</t>
  </si>
  <si>
    <t>Riddhi Purohit</t>
  </si>
  <si>
    <t>Moksh Bhatt</t>
  </si>
  <si>
    <t>Avni Dave</t>
  </si>
  <si>
    <t>Tanish Pandya</t>
  </si>
  <si>
    <t>Krisha Acharya</t>
  </si>
  <si>
    <t>Ved Rawal</t>
  </si>
  <si>
    <t>Jhanvi Thakkar</t>
  </si>
  <si>
    <t>Rohan Soni</t>
  </si>
  <si>
    <t>Aditi Chudasama</t>
  </si>
  <si>
    <t>Nirav Mori</t>
  </si>
  <si>
    <t>Shivani Gamit</t>
  </si>
  <si>
    <t>Kushal Vasava</t>
  </si>
  <si>
    <t>Mira Chaudhary</t>
  </si>
  <si>
    <t>Devanshi Rabari</t>
  </si>
  <si>
    <t>Harshit Bharwad</t>
  </si>
  <si>
    <t>Aarav Prajapati</t>
  </si>
  <si>
    <t>Vansh Bhuva</t>
  </si>
  <si>
    <t>Disha Koli</t>
  </si>
  <si>
    <t>Parth Sarvaiya</t>
  </si>
  <si>
    <t>Saanvi Mandora</t>
  </si>
  <si>
    <t>Kartik Khant</t>
  </si>
  <si>
    <t>Niyati Dodiya</t>
  </si>
  <si>
    <t>Soham Vankar</t>
  </si>
  <si>
    <t>Meera Sisodiya</t>
  </si>
  <si>
    <t>Ansh Tank</t>
  </si>
  <si>
    <t>Pallavi Jani</t>
  </si>
  <si>
    <t>Keshav Trivedi</t>
  </si>
  <si>
    <t>Rupal Vyas</t>
  </si>
  <si>
    <t>Manav Oza</t>
  </si>
  <si>
    <t>Jinal Shukla</t>
  </si>
  <si>
    <t>Aayush Pathak</t>
  </si>
  <si>
    <t>Falguni Tanna</t>
  </si>
  <si>
    <t>Ronak Lakhani</t>
  </si>
  <si>
    <t>Bhakti Doshi</t>
  </si>
  <si>
    <t>Mihir Sanghvi</t>
  </si>
  <si>
    <t>Aneri Kapadia</t>
  </si>
  <si>
    <t>Chirag Gandhi</t>
  </si>
  <si>
    <t>Srushti Jhaveri</t>
  </si>
  <si>
    <t>Naitik Mistry</t>
  </si>
  <si>
    <t>Khyati Kothari</t>
  </si>
  <si>
    <t>Rachit Sheth</t>
  </si>
  <si>
    <t>Pranav Amin</t>
  </si>
  <si>
    <t>Tisha Merchant</t>
  </si>
  <si>
    <t>Jaimin Contractor</t>
  </si>
  <si>
    <t>Nisha Modi</t>
  </si>
  <si>
    <t>Darshan Parekh</t>
  </si>
  <si>
    <t>Komal Barot</t>
  </si>
  <si>
    <t>Yug Baxi</t>
  </si>
  <si>
    <t>Hetvi Luhar</t>
  </si>
  <si>
    <t>Milan Kansara</t>
  </si>
  <si>
    <t>Kajal Salvi</t>
  </si>
  <si>
    <t>Ravina Suthar</t>
  </si>
  <si>
    <t>Sanket Kumbhar</t>
  </si>
  <si>
    <t>Ami Choksi</t>
  </si>
  <si>
    <t>Bhavin Bhimani</t>
  </si>
  <si>
    <t>Jigar Gajjar</t>
  </si>
  <si>
    <t>Rachna Lakhatar</t>
  </si>
  <si>
    <t>Nirmit Virani</t>
  </si>
  <si>
    <t>Poojan Bhayani</t>
  </si>
  <si>
    <t>Sejal Kariya</t>
  </si>
  <si>
    <t>Vraj Dholakia</t>
  </si>
  <si>
    <t>Mansi Vekariya</t>
  </si>
  <si>
    <t>Rakesh Mankad</t>
  </si>
  <si>
    <t>Dhara Savani</t>
  </si>
  <si>
    <t>Kushang Baldha</t>
  </si>
  <si>
    <t>Nirali Kheni</t>
  </si>
  <si>
    <t>Aarika Kalsariya</t>
  </si>
  <si>
    <t>Tejas Dhameliya</t>
  </si>
  <si>
    <t>Bhoomi Khodiyar</t>
  </si>
  <si>
    <t>Maulik Jadav</t>
  </si>
  <si>
    <t>Ira Chotaliya</t>
  </si>
  <si>
    <t>Kunal Kachhela</t>
  </si>
  <si>
    <t>Avisha Bhalala</t>
  </si>
  <si>
    <t>Naman Pipaliya</t>
  </si>
  <si>
    <t>Urvi Borad</t>
  </si>
  <si>
    <t>Smit Goti</t>
  </si>
  <si>
    <t>Reva Keshwala</t>
  </si>
  <si>
    <t>Dhruvin Kumbhani</t>
  </si>
  <si>
    <t>Shreya Padhiyar</t>
  </si>
  <si>
    <t>Tirth Virda</t>
  </si>
  <si>
    <t>Aashi Ramani</t>
  </si>
  <si>
    <t>Jay Vaghani</t>
  </si>
  <si>
    <t>Krupa Donga</t>
  </si>
  <si>
    <t>Rudra Kachadiya</t>
  </si>
  <si>
    <t>Sonal Dhaduk</t>
  </si>
  <si>
    <t>Vishva Ghelani</t>
  </si>
  <si>
    <t>Naitri Vala</t>
  </si>
  <si>
    <t>Kiran Bhadani</t>
  </si>
  <si>
    <t>Yatin Khorani</t>
  </si>
  <si>
    <t>Prisha Dholu</t>
  </si>
  <si>
    <t>Aarush Dhandhukiya</t>
  </si>
  <si>
    <t>Maitri Sariya</t>
  </si>
  <si>
    <t>Tanmay Chovatiya</t>
  </si>
  <si>
    <t>Riya Bhut</t>
  </si>
  <si>
    <t>Kairav Khachar</t>
  </si>
  <si>
    <t>Anvi Kachot</t>
  </si>
  <si>
    <t>Mishka Karkar</t>
  </si>
  <si>
    <t>Shivansh Vaghasiya</t>
  </si>
  <si>
    <t>Aaradhya Pansuriya</t>
  </si>
  <si>
    <t>Rishabh Lathiya</t>
  </si>
  <si>
    <t>Vihana Jethwa</t>
  </si>
  <si>
    <t>Devit Dhanani</t>
  </si>
  <si>
    <t>Krishiv Kharva</t>
  </si>
  <si>
    <t>Ishan Gajera</t>
  </si>
  <si>
    <t>Nitya Gadhiya</t>
  </si>
  <si>
    <t>Aarini Chikani</t>
  </si>
  <si>
    <t>Ronav Bhadarka</t>
  </si>
  <si>
    <t>Myra Bhalani</t>
  </si>
  <si>
    <t>Shreyas Kankot</t>
  </si>
  <si>
    <t>Siddhi Khandhediya</t>
  </si>
  <si>
    <t>Yuvraj Gajipara</t>
  </si>
  <si>
    <t>Aayansh Kothiya</t>
  </si>
  <si>
    <t>Dhvani Sondarva</t>
  </si>
  <si>
    <t>Ruhan Dalsaniya</t>
  </si>
  <si>
    <t>Jashvi Dhadhal</t>
  </si>
  <si>
    <t>Parishi Karmur</t>
  </si>
  <si>
    <t>Vatsal Khunt</t>
  </si>
  <si>
    <t>Mishita Vachhani</t>
  </si>
  <si>
    <t>Kiaan Boricha</t>
  </si>
  <si>
    <t>Anshul Dholariya</t>
  </si>
  <si>
    <t>Nirvaan Jivani</t>
  </si>
  <si>
    <t>Samaira Vaghani</t>
  </si>
  <si>
    <t>Tanush Mavani</t>
  </si>
  <si>
    <t>Ishita Ramani</t>
  </si>
  <si>
    <t>Reyansh Vekariya</t>
  </si>
  <si>
    <t>Krina Savani</t>
  </si>
  <si>
    <t>Darshit Keshwala</t>
  </si>
  <si>
    <t>Aarvi Ghelani</t>
  </si>
  <si>
    <t>Kashvi Khorani</t>
  </si>
  <si>
    <t>Avir Padhiyar</t>
  </si>
  <si>
    <t>Dhruvi Virda</t>
  </si>
  <si>
    <t>Manan Chotaliya</t>
  </si>
  <si>
    <t>Eshani Kachot</t>
  </si>
  <si>
    <t>Swayam Vaghasiya</t>
  </si>
  <si>
    <t>Vanya Pansuriya</t>
  </si>
  <si>
    <t>Ritvik Lathiya</t>
  </si>
  <si>
    <t>Mann Jethwa</t>
  </si>
  <si>
    <t>Shanaya Dhanani</t>
  </si>
  <si>
    <t>Aayush Kharva</t>
  </si>
  <si>
    <t>Anaya Gajera</t>
  </si>
  <si>
    <t>Vihaan Gadhiya</t>
  </si>
  <si>
    <t>Pranavi Chikani</t>
  </si>
  <si>
    <t>Sarthak Bhadarka</t>
  </si>
  <si>
    <t>Keshav Bhalani</t>
  </si>
  <si>
    <t>Vriti Kankot</t>
  </si>
  <si>
    <t>Samaira Khandhediya</t>
  </si>
  <si>
    <t>Devika Gajipara</t>
  </si>
  <si>
    <t>Rishit Kothiya</t>
  </si>
  <si>
    <t>Aarohi Sondarva</t>
  </si>
  <si>
    <t>Yugant Dalsaniya</t>
  </si>
  <si>
    <t>Veda Dhadhal</t>
  </si>
  <si>
    <t>Rachit Karmur</t>
  </si>
  <si>
    <t>Aarav Khunt</t>
  </si>
  <si>
    <t>Samar Vachhani</t>
  </si>
  <si>
    <t>Nakul Boricha</t>
  </si>
  <si>
    <t>Siddhant Dholariya</t>
  </si>
  <si>
    <t>Prisha Jivani</t>
  </si>
  <si>
    <t>Kavya Mavani</t>
  </si>
  <si>
    <t>Tanish Ramani</t>
  </si>
  <si>
    <t>Mihir Vekariya</t>
  </si>
  <si>
    <t>Riddhima Savani</t>
  </si>
  <si>
    <t>Niraj Keshwala</t>
  </si>
  <si>
    <t>Bhargav Ghelani</t>
  </si>
  <si>
    <t>Pinal Khorani</t>
  </si>
  <si>
    <t>Aakash Padhiyar</t>
  </si>
  <si>
    <t>Rima Virda</t>
  </si>
  <si>
    <t>Parthiv Chotaliya</t>
  </si>
  <si>
    <t>Feni Kachot</t>
  </si>
  <si>
    <t>Janki Vaghasiya</t>
  </si>
  <si>
    <t>Mitesh Pansuriya</t>
  </si>
  <si>
    <t>Hiral Lathiya</t>
  </si>
  <si>
    <t>Ravi Jethwa</t>
  </si>
  <si>
    <t>Priti Dhanani</t>
  </si>
  <si>
    <t>Sahil Kharva</t>
  </si>
  <si>
    <t>Aneri Gajera</t>
  </si>
  <si>
    <t>Bhargavi Gadhiya</t>
  </si>
  <si>
    <t>Nishta Chikani</t>
  </si>
  <si>
    <t>Pratik Mevawala</t>
  </si>
  <si>
    <t>Viral Surti</t>
  </si>
  <si>
    <t>Khyati Kachhi</t>
  </si>
  <si>
    <t>Urvi Barot</t>
  </si>
  <si>
    <t>Nakul Baxi</t>
  </si>
  <si>
    <t>Sanjay Luhar</t>
  </si>
  <si>
    <t>Krupa Kansara</t>
  </si>
  <si>
    <t>Harshil Salvi</t>
  </si>
  <si>
    <t>Mona Suthar</t>
  </si>
  <si>
    <t>Naitik Kumbhar</t>
  </si>
  <si>
    <t>Rachna Choksi</t>
  </si>
  <si>
    <t>Tejas Bhimani</t>
  </si>
  <si>
    <t>Nirali Gajjar</t>
  </si>
  <si>
    <t>Nidhi Lakhatar</t>
  </si>
  <si>
    <t>Rohit Virani</t>
  </si>
  <si>
    <t>Sejal Bhayani</t>
  </si>
  <si>
    <t>Jatin Kariya</t>
  </si>
  <si>
    <t>Apeksha Dholakia</t>
  </si>
  <si>
    <t>Kunal Vekariya</t>
  </si>
  <si>
    <t>Bhavika Mankad</t>
  </si>
  <si>
    <t>Manish Savani</t>
  </si>
  <si>
    <t>Srushti Baldha</t>
  </si>
  <si>
    <t>Himanshu Kheni</t>
  </si>
  <si>
    <t>Riddhesh Kalsariya</t>
  </si>
  <si>
    <t>Anjali Dhameliya</t>
  </si>
  <si>
    <t>Vivek Khodiyar</t>
  </si>
  <si>
    <t>Madhavi Jadav</t>
  </si>
  <si>
    <t>Parag Chotaliya</t>
  </si>
  <si>
    <t>Jalpa Kachhela</t>
  </si>
  <si>
    <t>Hemal Bhalala</t>
  </si>
  <si>
    <t>Smit Pipaliya</t>
  </si>
  <si>
    <t>Shreya Borad</t>
  </si>
  <si>
    <t>Ankur Goti</t>
  </si>
  <si>
    <t>Pankti Keshwala</t>
  </si>
  <si>
    <t>Nilesh Kumbhani</t>
  </si>
  <si>
    <t>Bansi Padhiyar</t>
  </si>
  <si>
    <t>Rohan Virda</t>
  </si>
  <si>
    <t>Kinjal Ramani</t>
  </si>
  <si>
    <t>Akhilesh Vaghani</t>
  </si>
  <si>
    <t>Mitali Donga</t>
  </si>
  <si>
    <t>Chirag Kachadiya</t>
  </si>
  <si>
    <t>Kartik Ghelani</t>
  </si>
  <si>
    <t>Falguni Vala</t>
  </si>
  <si>
    <t>Dhruvin Bhadani</t>
  </si>
  <si>
    <t>Rashi Khorani</t>
  </si>
  <si>
    <t>Pragnesh Dholu</t>
  </si>
  <si>
    <t>Nupur Dhandhukiya</t>
  </si>
  <si>
    <t>Hitesh Sariya</t>
  </si>
  <si>
    <t>Ravish Chovatiya</t>
  </si>
  <si>
    <t>Bhakti Bhut</t>
  </si>
  <si>
    <t>Mihir Khachar</t>
  </si>
  <si>
    <t>Rutuja Kachot</t>
  </si>
  <si>
    <t>Aarav Karkar</t>
  </si>
  <si>
    <t>Prerna Vaghasiya</t>
  </si>
  <si>
    <t>Kushagra Pansuriya</t>
  </si>
  <si>
    <t>Siddhant Lathiya</t>
  </si>
  <si>
    <t>Sakshi Jethwa</t>
  </si>
  <si>
    <t>Anmol Dhanani</t>
  </si>
  <si>
    <t>Garima Kharva</t>
  </si>
  <si>
    <t>Mayank Gajera</t>
  </si>
  <si>
    <t>Ritika Gadhiya</t>
  </si>
  <si>
    <t>Tarun Chikani</t>
  </si>
  <si>
    <t>Piyush Bhadarka</t>
  </si>
  <si>
    <t>Ishani Bhalani</t>
  </si>
  <si>
    <t>Abhinav Kankot</t>
  </si>
  <si>
    <t>Sakshi Khandhediya</t>
  </si>
  <si>
    <t>Vikas Gajipara</t>
  </si>
  <si>
    <t>Nandita Kothiya</t>
  </si>
  <si>
    <t>Shubham Sondarva</t>
  </si>
  <si>
    <t>Akansha Dalsaniya</t>
  </si>
  <si>
    <t>Varsha Dhadhal</t>
  </si>
  <si>
    <t>Pradeep Karmur</t>
  </si>
  <si>
    <t>Rajat Khunt</t>
  </si>
  <si>
    <t>Shalini Vachhani</t>
  </si>
  <si>
    <t>Lokesh Boricha</t>
  </si>
  <si>
    <t>Poonam Dholariya</t>
  </si>
  <si>
    <t>Girish Jivani</t>
  </si>
  <si>
    <t>Suman Mavani</t>
  </si>
  <si>
    <t>Dinesh Ramani</t>
  </si>
  <si>
    <t>Archana Vekariya</t>
  </si>
  <si>
    <t>Mukesh Savani</t>
  </si>
  <si>
    <t>Geeta Keshwala</t>
  </si>
  <si>
    <t>Sunil Ghelani</t>
  </si>
  <si>
    <t>Rekha Khorani</t>
  </si>
  <si>
    <t>Anil Padhiyar</t>
  </si>
  <si>
    <t>Megha Virda</t>
  </si>
  <si>
    <t>Ramesh Chotaliya</t>
  </si>
  <si>
    <t>Seema Kachot</t>
  </si>
  <si>
    <t>Vinod Vaghasiya</t>
  </si>
  <si>
    <t>Kusum Pansuriya</t>
  </si>
  <si>
    <t>Ajay Lathiya</t>
  </si>
  <si>
    <t>Sarita Jethwa</t>
  </si>
  <si>
    <t>Naresh Dhanani</t>
  </si>
  <si>
    <t>Usha Kharva</t>
  </si>
  <si>
    <t>Mahesh Gajera</t>
  </si>
  <si>
    <t>Lata Gadhiya</t>
  </si>
  <si>
    <t>Rajesh Chikani</t>
  </si>
  <si>
    <t>Kavita Bhadarka</t>
  </si>
  <si>
    <t>Pravin Bhalani</t>
  </si>
  <si>
    <t>Manisha Kankot</t>
  </si>
  <si>
    <t>Sandeep Khandhediya</t>
  </si>
  <si>
    <t>Jyoti Gajipara</t>
  </si>
  <si>
    <t>Ashish Kothiya</t>
  </si>
  <si>
    <t>Poonam Sondarva</t>
  </si>
  <si>
    <t>Naveen Dalsaniya</t>
  </si>
  <si>
    <t>Renu Dhadhal</t>
  </si>
  <si>
    <t>Vijay Karmur</t>
  </si>
  <si>
    <t>Swara Khunt</t>
  </si>
  <si>
    <t>Nitin Vachhani</t>
  </si>
  <si>
    <t>Rachita Boricha</t>
  </si>
  <si>
    <t>Arpit Dholariya</t>
  </si>
  <si>
    <t>Shweta Jivani</t>
  </si>
  <si>
    <t>Deepa Mavani</t>
  </si>
  <si>
    <t>Suresh Ramani</t>
  </si>
  <si>
    <t>Alok Vekariya</t>
  </si>
  <si>
    <t>Payal Savani</t>
  </si>
  <si>
    <t>Gautam Keshwala</t>
  </si>
  <si>
    <t>Preeti Ghelani</t>
  </si>
  <si>
    <t>Sachin Khorani</t>
  </si>
  <si>
    <t>Anita Padhiyar</t>
  </si>
  <si>
    <t>Vimal Virda</t>
  </si>
  <si>
    <t>Divya Chotaliya</t>
  </si>
  <si>
    <t>Rohini Kachot</t>
  </si>
  <si>
    <t>Hemant Vaghasiya</t>
  </si>
  <si>
    <t>Smita Pansuriya</t>
  </si>
  <si>
    <t>Yogesh Lathiya</t>
  </si>
  <si>
    <t>Neelam Jethwa</t>
  </si>
  <si>
    <t>Bharat Dhanani</t>
  </si>
  <si>
    <t>Kiran Kharva</t>
  </si>
  <si>
    <t>Prakash Gajera</t>
  </si>
  <si>
    <t>Manju Gadhiya</t>
  </si>
  <si>
    <t>Uday Chikani</t>
  </si>
  <si>
    <t>Sanjana Bhadarka</t>
  </si>
  <si>
    <t>Ravindra Bhalani</t>
  </si>
  <si>
    <t>Anupama Kankot</t>
  </si>
  <si>
    <t>Jitendra Khandhediya</t>
  </si>
  <si>
    <t>Madhuri Gajipara</t>
  </si>
  <si>
    <t>Kamal Kothiya</t>
  </si>
  <si>
    <t>Asha Sondarva</t>
  </si>
  <si>
    <t>Rituraj Dalsaniya</t>
  </si>
  <si>
    <t>Sonal Dhadhal</t>
  </si>
  <si>
    <t>Chandan Karmur</t>
  </si>
  <si>
    <t>Nirmala Khunt</t>
  </si>
  <si>
    <t>Vasudha Vachhani</t>
  </si>
  <si>
    <t>Satyam Boricha</t>
  </si>
  <si>
    <t>Aarav Dholariya</t>
  </si>
  <si>
    <t>Mehak Jivani</t>
  </si>
  <si>
    <t>Ishaan Mavani</t>
  </si>
  <si>
    <t>Tanisha Ramani</t>
  </si>
  <si>
    <t>Raghav Vekariya</t>
  </si>
  <si>
    <t>Palak Savani</t>
  </si>
  <si>
    <t>Anshuman Keshwala</t>
  </si>
  <si>
    <t>Kritika Ghelani</t>
  </si>
  <si>
    <t>Shivangi Khorani</t>
  </si>
  <si>
    <t>Abhinandan Padhiyar</t>
  </si>
  <si>
    <t>Ritika Virda</t>
  </si>
  <si>
    <t>Prateek Chotaliya</t>
  </si>
  <si>
    <t>Garvit Kachot</t>
  </si>
  <si>
    <t>Muskan Vaghasiya</t>
  </si>
  <si>
    <t>Sakshi Pansuriya</t>
  </si>
  <si>
    <t>Yashwant Lathiya</t>
  </si>
  <si>
    <t>Anurag Jethwa</t>
  </si>
  <si>
    <t>Divyanshi Dhanani</t>
  </si>
  <si>
    <t>Naman Kharva</t>
  </si>
  <si>
    <t>Ishika Gajera</t>
  </si>
  <si>
    <t>Aarav Gadhiya</t>
  </si>
  <si>
    <t>Mehak Chikani</t>
  </si>
  <si>
    <t>Ishaan Bhadarka</t>
  </si>
  <si>
    <t>Tanisha Bhalani</t>
  </si>
  <si>
    <t>Raghav Kankot</t>
  </si>
  <si>
    <t>Palak Khandhediya</t>
  </si>
  <si>
    <t>Anshuman Gajipara</t>
  </si>
  <si>
    <t>Kritika Kothiya</t>
  </si>
  <si>
    <t>Shivangi Sondarva</t>
  </si>
  <si>
    <t>Abhinandan Dalsaniya</t>
  </si>
  <si>
    <t>Ritika Dhadhal</t>
  </si>
  <si>
    <t>Prateek Karmur</t>
  </si>
  <si>
    <t>Garvit Khunt</t>
  </si>
  <si>
    <t>Muskan Vachhani</t>
  </si>
  <si>
    <t>Yashwant Boricha</t>
  </si>
  <si>
    <t>Anurag Dholariya</t>
  </si>
  <si>
    <t>Divyanshi Jivani</t>
  </si>
  <si>
    <t>Naman Mavani</t>
  </si>
  <si>
    <t>Ishika Ramani</t>
  </si>
  <si>
    <t>Aarav Vekariya</t>
  </si>
  <si>
    <t>Mehak Savani</t>
  </si>
  <si>
    <t>Ishaan Keshwala</t>
  </si>
  <si>
    <t>Tanisha Ghelani</t>
  </si>
  <si>
    <t>Raghav Khorani</t>
  </si>
  <si>
    <t>Palak Padhiyar</t>
  </si>
  <si>
    <t>Anshuman Virda</t>
  </si>
  <si>
    <t>Kritika Chotaliya</t>
  </si>
  <si>
    <t>Shivangi Kachot</t>
  </si>
  <si>
    <t>Abhinandan Vaghasiya</t>
  </si>
  <si>
    <t>Ritika Pansuriya</t>
  </si>
  <si>
    <t>Prateek Lathiya</t>
  </si>
  <si>
    <t>Garvit Jethwa</t>
  </si>
  <si>
    <t>Muskan Dhanani</t>
  </si>
  <si>
    <t>Yashwant Kharva</t>
  </si>
  <si>
    <t>Anurag Gajera</t>
  </si>
  <si>
    <t>Divyanshi Gadhiya</t>
  </si>
  <si>
    <t>Naman Chikani</t>
  </si>
  <si>
    <t>Ishika Bhadarka</t>
  </si>
  <si>
    <t>Aarav Bhalani</t>
  </si>
  <si>
    <t>Mehak Kankot</t>
  </si>
  <si>
    <t>Ishaan Khandhediya</t>
  </si>
  <si>
    <t>Tanisha Gajipara</t>
  </si>
  <si>
    <t>Raghav Kothiya</t>
  </si>
  <si>
    <t>Palak Sondarva</t>
  </si>
  <si>
    <t>Anshuman Dalsaniya</t>
  </si>
  <si>
    <t>Kritika Dhadhal</t>
  </si>
  <si>
    <t>Shivangi Karmur</t>
  </si>
  <si>
    <t>Abhinandan Khunt</t>
  </si>
  <si>
    <t>Ritika Vachhani</t>
  </si>
  <si>
    <t>Prateek Boricha</t>
  </si>
  <si>
    <t>Garvit Dholariya</t>
  </si>
  <si>
    <t>Muskan Jivani</t>
  </si>
  <si>
    <t>Yashwant Mavani</t>
  </si>
  <si>
    <t>Anurag Ramani</t>
  </si>
  <si>
    <t>Divyanshi Vekariya</t>
  </si>
  <si>
    <t>Naman Savani</t>
  </si>
  <si>
    <t>Ishika Keshwala</t>
  </si>
  <si>
    <t>Aarav Ghelani</t>
  </si>
  <si>
    <t>Mehak Khorani</t>
  </si>
  <si>
    <t>Ishaan Padhiyar</t>
  </si>
  <si>
    <t>Tanisha Virda</t>
  </si>
  <si>
    <t>Raghav Chotaliya</t>
  </si>
  <si>
    <t>Palak Kachot</t>
  </si>
  <si>
    <t>Anshuman Vaghasiya</t>
  </si>
  <si>
    <t>Kritika Pansuriya</t>
  </si>
  <si>
    <t>Shivangi Lathiya</t>
  </si>
  <si>
    <t>Abhinandan Jethwa</t>
  </si>
  <si>
    <t>Ritika Dhanani</t>
  </si>
  <si>
    <t>Prateek Kharva</t>
  </si>
  <si>
    <t>Garvit Gajera</t>
  </si>
  <si>
    <t>Muskan Gadhiya</t>
  </si>
  <si>
    <t>Yashwant Chikani</t>
  </si>
  <si>
    <t>Anurag Bhadarka</t>
  </si>
  <si>
    <t>Divyanshi Bhalani</t>
  </si>
  <si>
    <t>Naman Kankot</t>
  </si>
  <si>
    <t>Ishika Khandhediya</t>
  </si>
  <si>
    <t>Aarav Gajipara</t>
  </si>
  <si>
    <t>Mehak Kothiya</t>
  </si>
  <si>
    <t>Ishaan Sondarva</t>
  </si>
  <si>
    <t>Tanisha Dalsaniya</t>
  </si>
  <si>
    <t>Raghav Dhadhal</t>
  </si>
  <si>
    <t>Palak Karmur</t>
  </si>
  <si>
    <t>Anshuman Khunt</t>
  </si>
  <si>
    <t>Kritika Vachhani</t>
  </si>
  <si>
    <t>Shivangi Boricha</t>
  </si>
  <si>
    <t>Abhinandan Dholariya</t>
  </si>
  <si>
    <t>Ritika Jivani</t>
  </si>
  <si>
    <t>Prateek Mavani</t>
  </si>
  <si>
    <t>Garvit Ramani</t>
  </si>
  <si>
    <t>Muskan Vekariya</t>
  </si>
  <si>
    <t>Yashwant Savani</t>
  </si>
  <si>
    <t>Anurag Keshwala</t>
  </si>
  <si>
    <t>Divyanshi Ghelani</t>
  </si>
  <si>
    <t>Naman Khorani</t>
  </si>
  <si>
    <t>Ishika Padhiyar</t>
  </si>
  <si>
    <t>Aarav Virda</t>
  </si>
  <si>
    <t>Mehak Chotaliya</t>
  </si>
  <si>
    <t>Ishaan Kachot</t>
  </si>
  <si>
    <t>Tanisha Vaghasiya</t>
  </si>
  <si>
    <t>Raghav Pansuriya</t>
  </si>
  <si>
    <t>Palak Lathiya</t>
  </si>
  <si>
    <t>Anshuman Jethwa</t>
  </si>
  <si>
    <t>Kritika Dhanani</t>
  </si>
  <si>
    <t>Shivangi Kharva</t>
  </si>
  <si>
    <t>Abhinandan Gajera</t>
  </si>
  <si>
    <t>Prateek Chikani</t>
  </si>
  <si>
    <t>Garvit Bhadarka</t>
  </si>
  <si>
    <t>Muskan Bhalani</t>
  </si>
  <si>
    <t>Yashwant Kankot</t>
  </si>
  <si>
    <t>Anurag Khandhediya</t>
  </si>
  <si>
    <t>Divyanshi Gajipara</t>
  </si>
  <si>
    <t>Naman Kothiya</t>
  </si>
  <si>
    <t>Ishika Sondarva</t>
  </si>
  <si>
    <t>Hina Khana</t>
  </si>
  <si>
    <t>Surshti Dave</t>
  </si>
  <si>
    <t>Sita Singhaniya</t>
  </si>
  <si>
    <t>Fena Kareliya</t>
  </si>
  <si>
    <t>Latiya Kapur</t>
  </si>
  <si>
    <t>Dhruv Gondaliya</t>
  </si>
  <si>
    <t>Krunal Taraviya</t>
  </si>
  <si>
    <t>Maitri Joshi</t>
  </si>
  <si>
    <t>Soham Donga</t>
  </si>
  <si>
    <t>Nirali Kathiriya</t>
  </si>
  <si>
    <t>Arman Padsara</t>
  </si>
  <si>
    <t>Hetvi Sakhiya</t>
  </si>
  <si>
    <t>Yug Joshi</t>
  </si>
  <si>
    <t>Zain Khan</t>
  </si>
  <si>
    <t>Bhavik Donga</t>
  </si>
  <si>
    <t>Jhanvi Gondaliya</t>
  </si>
  <si>
    <t>Tirth Sakhiya</t>
  </si>
  <si>
    <t>Mansi Taraviya</t>
  </si>
  <si>
    <t>Rehan Khan</t>
  </si>
  <si>
    <t>Avni Kathiriya</t>
  </si>
  <si>
    <t>Jay Padsara</t>
  </si>
  <si>
    <t>Krisha Joshi</t>
  </si>
  <si>
    <t>Rahil Gondaliya</t>
  </si>
  <si>
    <t>Pinal Donga</t>
  </si>
  <si>
    <t>Devanshi Sakhiya</t>
  </si>
  <si>
    <t>Aariz Khan</t>
  </si>
  <si>
    <t>Admission_Source</t>
  </si>
  <si>
    <t>Website</t>
  </si>
  <si>
    <t>WhatsApp</t>
  </si>
  <si>
    <t>LinkedIn</t>
  </si>
  <si>
    <t>College Seminar</t>
  </si>
  <si>
    <t>Ads</t>
  </si>
  <si>
    <t>Branch Visit</t>
  </si>
  <si>
    <t>Friend Referral</t>
  </si>
  <si>
    <t>Family Referral</t>
  </si>
  <si>
    <t>Admission_Mode</t>
  </si>
  <si>
    <t>Online</t>
  </si>
  <si>
    <t>Offline</t>
  </si>
  <si>
    <t>Batch_Timing</t>
  </si>
  <si>
    <t>09:00 - 10:00 AM</t>
  </si>
  <si>
    <t>06:00 - 07:00 PM</t>
  </si>
  <si>
    <t>11:00-12:00  AM</t>
  </si>
  <si>
    <t>10:00-11:00 AM</t>
  </si>
  <si>
    <t>04:00-05:00 PM</t>
  </si>
  <si>
    <t>03:00-04:00 PM</t>
  </si>
  <si>
    <t>09:00-10:00 AM</t>
  </si>
  <si>
    <t>05:00- 06:00PM</t>
  </si>
  <si>
    <t>Ongoin</t>
  </si>
  <si>
    <t>ADM0500</t>
  </si>
  <si>
    <t>STU0500</t>
  </si>
  <si>
    <t>Jensi Skhakiya</t>
  </si>
  <si>
    <t>Total Admission</t>
  </si>
  <si>
    <t>Total Student</t>
  </si>
  <si>
    <t>Total Branch</t>
  </si>
  <si>
    <t>Addmisson Mode</t>
  </si>
  <si>
    <t xml:space="preserve">Age </t>
  </si>
  <si>
    <t>Age</t>
  </si>
  <si>
    <t>Addmission Source</t>
  </si>
  <si>
    <t>Branch Area</t>
  </si>
  <si>
    <t>Month</t>
  </si>
  <si>
    <t>Year</t>
  </si>
  <si>
    <t>ADM0501</t>
  </si>
  <si>
    <t>ADM0502</t>
  </si>
  <si>
    <t>ADM0503</t>
  </si>
  <si>
    <t>ADM0504</t>
  </si>
  <si>
    <t>ADM0505</t>
  </si>
  <si>
    <t>ADM0506</t>
  </si>
  <si>
    <t>ADM0507</t>
  </si>
  <si>
    <t>ADM0508</t>
  </si>
  <si>
    <t>ADM0509</t>
  </si>
  <si>
    <t>ADM0510</t>
  </si>
  <si>
    <t>ADM0511</t>
  </si>
  <si>
    <t>ADM0512</t>
  </si>
  <si>
    <t>ADM0513</t>
  </si>
  <si>
    <t>ADM0514</t>
  </si>
  <si>
    <t>ADM0515</t>
  </si>
  <si>
    <t>ADM0516</t>
  </si>
  <si>
    <t>ADM0517</t>
  </si>
  <si>
    <t>ADM0518</t>
  </si>
  <si>
    <t>ADM0519</t>
  </si>
  <si>
    <t>ADM0520</t>
  </si>
  <si>
    <t>ADM0521</t>
  </si>
  <si>
    <t>ADM0522</t>
  </si>
  <si>
    <t>ADM0523</t>
  </si>
  <si>
    <t>ADM0524</t>
  </si>
  <si>
    <t>ADM0525</t>
  </si>
  <si>
    <t>ADM0526</t>
  </si>
  <si>
    <t>ADM0527</t>
  </si>
  <si>
    <t>ADM0528</t>
  </si>
  <si>
    <t>ADM0529</t>
  </si>
  <si>
    <t>ADM0530</t>
  </si>
  <si>
    <t>ADM0531</t>
  </si>
  <si>
    <t>ADM0532</t>
  </si>
  <si>
    <t>ADM0533</t>
  </si>
  <si>
    <t>ADM0534</t>
  </si>
  <si>
    <t>ADM0535</t>
  </si>
  <si>
    <t>ADM0536</t>
  </si>
  <si>
    <t>ADM0537</t>
  </si>
  <si>
    <t>ADM0538</t>
  </si>
  <si>
    <t>ADM0539</t>
  </si>
  <si>
    <t>ADM0540</t>
  </si>
  <si>
    <t>ADM0541</t>
  </si>
  <si>
    <t>ADM0542</t>
  </si>
  <si>
    <t>ADM0543</t>
  </si>
  <si>
    <t>ADM0544</t>
  </si>
  <si>
    <t>ADM0545</t>
  </si>
  <si>
    <t>ADM0546</t>
  </si>
  <si>
    <t>ADM0547</t>
  </si>
  <si>
    <t>ADM0548</t>
  </si>
  <si>
    <t>ADM0549</t>
  </si>
  <si>
    <t>ADM0550</t>
  </si>
  <si>
    <t>ADM0551</t>
  </si>
  <si>
    <t>ADM0552</t>
  </si>
  <si>
    <t>ADM0553</t>
  </si>
  <si>
    <t>ADM0554</t>
  </si>
  <si>
    <t>ADM0555</t>
  </si>
  <si>
    <t>ADM0556</t>
  </si>
  <si>
    <t>ADM0557</t>
  </si>
  <si>
    <t>ADM0558</t>
  </si>
  <si>
    <t>ADM0559</t>
  </si>
  <si>
    <t>ADM0560</t>
  </si>
  <si>
    <t>ADM0561</t>
  </si>
  <si>
    <t>ADM0562</t>
  </si>
  <si>
    <t>ADM0563</t>
  </si>
  <si>
    <t>ADM0564</t>
  </si>
  <si>
    <t>ADM0565</t>
  </si>
  <si>
    <t>ADM0566</t>
  </si>
  <si>
    <t>ADM0567</t>
  </si>
  <si>
    <t>ADM0568</t>
  </si>
  <si>
    <t>ADM0569</t>
  </si>
  <si>
    <t>ADM0570</t>
  </si>
  <si>
    <t>ADM0571</t>
  </si>
  <si>
    <t>ADM0572</t>
  </si>
  <si>
    <t>ADM0573</t>
  </si>
  <si>
    <t>ADM0574</t>
  </si>
  <si>
    <t>ADM0575</t>
  </si>
  <si>
    <t>ADM0576</t>
  </si>
  <si>
    <t>ADM0577</t>
  </si>
  <si>
    <t>ADM0578</t>
  </si>
  <si>
    <t>ADM0579</t>
  </si>
  <si>
    <t>ADM0580</t>
  </si>
  <si>
    <t>ADM0581</t>
  </si>
  <si>
    <t>ADM0582</t>
  </si>
  <si>
    <t>ADM0583</t>
  </si>
  <si>
    <t>ADM0584</t>
  </si>
  <si>
    <t>ADM0585</t>
  </si>
  <si>
    <t>ADM0586</t>
  </si>
  <si>
    <t>ADM0587</t>
  </si>
  <si>
    <t>ADM0588</t>
  </si>
  <si>
    <t>ADM0589</t>
  </si>
  <si>
    <t>ADM0590</t>
  </si>
  <si>
    <t>ADM0591</t>
  </si>
  <si>
    <t>ADM0592</t>
  </si>
  <si>
    <t>ADM0593</t>
  </si>
  <si>
    <t>ADM0594</t>
  </si>
  <si>
    <t>ADM0595</t>
  </si>
  <si>
    <t>ADM0596</t>
  </si>
  <si>
    <t>ADM0597</t>
  </si>
  <si>
    <t>ADM0598</t>
  </si>
  <si>
    <t>ADM0599</t>
  </si>
  <si>
    <t>ADM0600</t>
  </si>
  <si>
    <t>ADM0601</t>
  </si>
  <si>
    <t>ADM0602</t>
  </si>
  <si>
    <t>ADM0603</t>
  </si>
  <si>
    <t>ADM0604</t>
  </si>
  <si>
    <t>ADM0605</t>
  </si>
  <si>
    <t>ADM0606</t>
  </si>
  <si>
    <t>ADM0607</t>
  </si>
  <si>
    <t>ADM0608</t>
  </si>
  <si>
    <t>ADM0609</t>
  </si>
  <si>
    <t>ADM0610</t>
  </si>
  <si>
    <t>ADM0611</t>
  </si>
  <si>
    <t>ADM0612</t>
  </si>
  <si>
    <t>ADM0613</t>
  </si>
  <si>
    <t>ADM0614</t>
  </si>
  <si>
    <t>ADM0615</t>
  </si>
  <si>
    <t>ADM0616</t>
  </si>
  <si>
    <t>ADM0617</t>
  </si>
  <si>
    <t>ADM0618</t>
  </si>
  <si>
    <t>ADM0619</t>
  </si>
  <si>
    <t>ADM0620</t>
  </si>
  <si>
    <t>ADM0621</t>
  </si>
  <si>
    <t>ADM0622</t>
  </si>
  <si>
    <t>ADM0623</t>
  </si>
  <si>
    <t>ADM0624</t>
  </si>
  <si>
    <t>ADM0625</t>
  </si>
  <si>
    <t>ADM0626</t>
  </si>
  <si>
    <t>ADM0627</t>
  </si>
  <si>
    <t>ADM0628</t>
  </si>
  <si>
    <t>ADM0629</t>
  </si>
  <si>
    <t>ADM0630</t>
  </si>
  <si>
    <t>ADM0631</t>
  </si>
  <si>
    <t>ADM0632</t>
  </si>
  <si>
    <t>ADM0633</t>
  </si>
  <si>
    <t>ADM0634</t>
  </si>
  <si>
    <t>ADM0635</t>
  </si>
  <si>
    <t>ADM0636</t>
  </si>
  <si>
    <t>ADM0637</t>
  </si>
  <si>
    <t>ADM0638</t>
  </si>
  <si>
    <t>ADM0639</t>
  </si>
  <si>
    <t>ADM0640</t>
  </si>
  <si>
    <t>ADM0641</t>
  </si>
  <si>
    <t>ADM0642</t>
  </si>
  <si>
    <t>ADM0643</t>
  </si>
  <si>
    <t>ADM0644</t>
  </si>
  <si>
    <t>ADM0645</t>
  </si>
  <si>
    <t>ADM0646</t>
  </si>
  <si>
    <t>ADM0647</t>
  </si>
  <si>
    <t>ADM0648</t>
  </si>
  <si>
    <t>ADM0649</t>
  </si>
  <si>
    <t>ADM0650</t>
  </si>
  <si>
    <t>ADM0651</t>
  </si>
  <si>
    <t>ADM0652</t>
  </si>
  <si>
    <t>ADM0653</t>
  </si>
  <si>
    <t>ADM0654</t>
  </si>
  <si>
    <t>ADM0655</t>
  </si>
  <si>
    <t>STU0501</t>
  </si>
  <si>
    <t>STU0502</t>
  </si>
  <si>
    <t>STU0503</t>
  </si>
  <si>
    <t>STU0504</t>
  </si>
  <si>
    <t>STU0505</t>
  </si>
  <si>
    <t>STU0506</t>
  </si>
  <si>
    <t>STU0507</t>
  </si>
  <si>
    <t>STU0508</t>
  </si>
  <si>
    <t>STU0509</t>
  </si>
  <si>
    <t>STU0510</t>
  </si>
  <si>
    <t>STU0511</t>
  </si>
  <si>
    <t>STU0512</t>
  </si>
  <si>
    <t>STU0513</t>
  </si>
  <si>
    <t>STU0514</t>
  </si>
  <si>
    <t>STU0515</t>
  </si>
  <si>
    <t>STU0516</t>
  </si>
  <si>
    <t>STU0517</t>
  </si>
  <si>
    <t>STU0518</t>
  </si>
  <si>
    <t>STU0519</t>
  </si>
  <si>
    <t>STU0520</t>
  </si>
  <si>
    <t>STU0521</t>
  </si>
  <si>
    <t>STU0522</t>
  </si>
  <si>
    <t>STU0523</t>
  </si>
  <si>
    <t>STU0524</t>
  </si>
  <si>
    <t>STU0525</t>
  </si>
  <si>
    <t>STU0526</t>
  </si>
  <si>
    <t>STU0527</t>
  </si>
  <si>
    <t>STU0528</t>
  </si>
  <si>
    <t>STU0529</t>
  </si>
  <si>
    <t>STU0530</t>
  </si>
  <si>
    <t>STU0531</t>
  </si>
  <si>
    <t>STU0532</t>
  </si>
  <si>
    <t>STU0533</t>
  </si>
  <si>
    <t>STU0534</t>
  </si>
  <si>
    <t>STU0535</t>
  </si>
  <si>
    <t>STU0536</t>
  </si>
  <si>
    <t>STU0537</t>
  </si>
  <si>
    <t>STU0538</t>
  </si>
  <si>
    <t>STU0539</t>
  </si>
  <si>
    <t>STU0540</t>
  </si>
  <si>
    <t>STU0541</t>
  </si>
  <si>
    <t>STU0542</t>
  </si>
  <si>
    <t>STU0543</t>
  </si>
  <si>
    <t>STU0544</t>
  </si>
  <si>
    <t>STU0545</t>
  </si>
  <si>
    <t>STU0546</t>
  </si>
  <si>
    <t>STU0547</t>
  </si>
  <si>
    <t>STU0548</t>
  </si>
  <si>
    <t>STU0549</t>
  </si>
  <si>
    <t>STU0550</t>
  </si>
  <si>
    <t>STU0551</t>
  </si>
  <si>
    <t>STU0552</t>
  </si>
  <si>
    <t>STU0553</t>
  </si>
  <si>
    <t>STU0554</t>
  </si>
  <si>
    <t>STU0555</t>
  </si>
  <si>
    <t>STU0556</t>
  </si>
  <si>
    <t>STU0557</t>
  </si>
  <si>
    <t>STU0558</t>
  </si>
  <si>
    <t>STU0559</t>
  </si>
  <si>
    <t>STU0560</t>
  </si>
  <si>
    <t>STU0561</t>
  </si>
  <si>
    <t>STU0562</t>
  </si>
  <si>
    <t>STU0563</t>
  </si>
  <si>
    <t>STU0564</t>
  </si>
  <si>
    <t>STU0565</t>
  </si>
  <si>
    <t>STU0566</t>
  </si>
  <si>
    <t>STU0567</t>
  </si>
  <si>
    <t>STU0568</t>
  </si>
  <si>
    <t>STU0569</t>
  </si>
  <si>
    <t>STU0570</t>
  </si>
  <si>
    <t>STU0571</t>
  </si>
  <si>
    <t>STU0572</t>
  </si>
  <si>
    <t>STU0573</t>
  </si>
  <si>
    <t>STU0574</t>
  </si>
  <si>
    <t>STU0575</t>
  </si>
  <si>
    <t>STU0576</t>
  </si>
  <si>
    <t>STU0577</t>
  </si>
  <si>
    <t>STU0578</t>
  </si>
  <si>
    <t>STU0579</t>
  </si>
  <si>
    <t>STU0580</t>
  </si>
  <si>
    <t>STU0581</t>
  </si>
  <si>
    <t>STU0582</t>
  </si>
  <si>
    <t>STU0583</t>
  </si>
  <si>
    <t>STU0584</t>
  </si>
  <si>
    <t>STU0585</t>
  </si>
  <si>
    <t>STU0586</t>
  </si>
  <si>
    <t>STU0587</t>
  </si>
  <si>
    <t>STU0588</t>
  </si>
  <si>
    <t>STU0589</t>
  </si>
  <si>
    <t>STU0590</t>
  </si>
  <si>
    <t>STU0591</t>
  </si>
  <si>
    <t>STU0592</t>
  </si>
  <si>
    <t>STU0593</t>
  </si>
  <si>
    <t>STU0594</t>
  </si>
  <si>
    <t>STU0595</t>
  </si>
  <si>
    <t>STU0596</t>
  </si>
  <si>
    <t>STU0597</t>
  </si>
  <si>
    <t>STU0598</t>
  </si>
  <si>
    <t>STU0599</t>
  </si>
  <si>
    <t>STU0600</t>
  </si>
  <si>
    <t>STU0601</t>
  </si>
  <si>
    <t>STU0602</t>
  </si>
  <si>
    <t>STU0603</t>
  </si>
  <si>
    <t>STU0604</t>
  </si>
  <si>
    <t>STU0605</t>
  </si>
  <si>
    <t>STU0606</t>
  </si>
  <si>
    <t>STU0607</t>
  </si>
  <si>
    <t>STU0608</t>
  </si>
  <si>
    <t>STU0609</t>
  </si>
  <si>
    <t>STU0610</t>
  </si>
  <si>
    <t>STU0611</t>
  </si>
  <si>
    <t>STU0612</t>
  </si>
  <si>
    <t>STU0613</t>
  </si>
  <si>
    <t>STU0614</t>
  </si>
  <si>
    <t>STU0615</t>
  </si>
  <si>
    <t>STU0616</t>
  </si>
  <si>
    <t>STU0617</t>
  </si>
  <si>
    <t>STU0618</t>
  </si>
  <si>
    <t>STU0619</t>
  </si>
  <si>
    <t>STU0620</t>
  </si>
  <si>
    <t>STU0621</t>
  </si>
  <si>
    <t>STU0622</t>
  </si>
  <si>
    <t>STU0623</t>
  </si>
  <si>
    <t>STU0624</t>
  </si>
  <si>
    <t>STU0625</t>
  </si>
  <si>
    <t>STU0626</t>
  </si>
  <si>
    <t>STU0627</t>
  </si>
  <si>
    <t>STU0628</t>
  </si>
  <si>
    <t>STU0629</t>
  </si>
  <si>
    <t>STU0630</t>
  </si>
  <si>
    <t>STU0631</t>
  </si>
  <si>
    <t>STU0632</t>
  </si>
  <si>
    <t>STU0633</t>
  </si>
  <si>
    <t>STU0634</t>
  </si>
  <si>
    <t>STU0635</t>
  </si>
  <si>
    <t>STU0636</t>
  </si>
  <si>
    <t>STU0637</t>
  </si>
  <si>
    <t>STU0638</t>
  </si>
  <si>
    <t>STU0639</t>
  </si>
  <si>
    <t>STU0640</t>
  </si>
  <si>
    <t>STU0641</t>
  </si>
  <si>
    <t>STU0642</t>
  </si>
  <si>
    <t>STU0643</t>
  </si>
  <si>
    <t>STU0644</t>
  </si>
  <si>
    <t>STU0645</t>
  </si>
  <si>
    <t>STU0646</t>
  </si>
  <si>
    <t>STU0647</t>
  </si>
  <si>
    <t>STU0648</t>
  </si>
  <si>
    <t>STU0649</t>
  </si>
  <si>
    <t>STU0650</t>
  </si>
  <si>
    <t>STU0651</t>
  </si>
  <si>
    <t>STU0652</t>
  </si>
  <si>
    <t>STU0653</t>
  </si>
  <si>
    <t>STU0654</t>
  </si>
  <si>
    <t>STU0655</t>
  </si>
  <si>
    <t>City</t>
  </si>
  <si>
    <t>Total Addmission</t>
  </si>
  <si>
    <t>Total Addmision</t>
  </si>
  <si>
    <t>Hightest</t>
  </si>
  <si>
    <t>Lowest</t>
  </si>
  <si>
    <t>Admission Source</t>
  </si>
  <si>
    <t>Admission Summery</t>
  </si>
  <si>
    <t>Total Value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</si>
</sst>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theme="1" tint="4.9989318521683403E-2"/>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41">
    <xf numFmtId="0" fontId="0" fillId="0" borderId="0" xfId="0"/>
    <xf numFmtId="14" fontId="0" fillId="0" borderId="0" xfId="0" applyNumberFormat="1"/>
    <xf numFmtId="0" fontId="0" fillId="0" borderId="1" xfId="0" applyBorder="1"/>
    <xf numFmtId="14" fontId="0" fillId="0" borderId="1" xfId="0" applyNumberFormat="1" applyBorder="1"/>
    <xf numFmtId="0" fontId="2" fillId="0" borderId="1" xfId="0" applyFont="1" applyBorder="1"/>
    <xf numFmtId="164" fontId="0" fillId="0" borderId="1" xfId="0" applyNumberFormat="1" applyBorder="1"/>
    <xf numFmtId="164" fontId="0" fillId="0" borderId="0" xfId="0" applyNumberFormat="1"/>
    <xf numFmtId="0" fontId="0" fillId="0" borderId="2" xfId="0" applyBorder="1"/>
    <xf numFmtId="0" fontId="0" fillId="0" borderId="3" xfId="0" applyBorder="1"/>
    <xf numFmtId="0" fontId="2" fillId="0" borderId="4" xfId="0" applyFont="1" applyBorder="1"/>
    <xf numFmtId="14" fontId="2" fillId="0" borderId="5" xfId="0" applyNumberFormat="1" applyFont="1" applyBorder="1"/>
    <xf numFmtId="0" fontId="2" fillId="0" borderId="5" xfId="0" applyFont="1" applyBorder="1"/>
    <xf numFmtId="164" fontId="2" fillId="0" borderId="5" xfId="0" applyNumberFormat="1" applyFont="1" applyBorder="1"/>
    <xf numFmtId="0" fontId="2" fillId="0" borderId="6" xfId="0" applyFont="1" applyBorder="1"/>
    <xf numFmtId="0" fontId="0" fillId="0" borderId="7" xfId="0" applyBorder="1"/>
    <xf numFmtId="14" fontId="0" fillId="0" borderId="8" xfId="0" applyNumberFormat="1" applyBorder="1"/>
    <xf numFmtId="0" fontId="0" fillId="0" borderId="8" xfId="0" applyBorder="1"/>
    <xf numFmtId="0" fontId="0" fillId="0" borderId="8" xfId="0" applyFill="1" applyBorder="1"/>
    <xf numFmtId="164" fontId="0" fillId="0" borderId="8" xfId="0" applyNumberFormat="1" applyBorder="1"/>
    <xf numFmtId="0" fontId="0" fillId="0" borderId="9" xfId="0" applyFill="1" applyBorder="1"/>
    <xf numFmtId="0" fontId="0" fillId="0" borderId="1" xfId="0" applyNumberFormat="1" applyBorder="1"/>
    <xf numFmtId="0" fontId="0" fillId="0" borderId="3" xfId="0" applyBorder="1" applyAlignment="1">
      <alignment horizontal="left"/>
    </xf>
    <xf numFmtId="0" fontId="0" fillId="0" borderId="5" xfId="0" applyBorder="1"/>
    <xf numFmtId="0" fontId="0" fillId="2" borderId="0" xfId="0" applyFill="1"/>
    <xf numFmtId="0" fontId="0" fillId="2" borderId="0" xfId="0" applyFill="1" applyAlignment="1">
      <alignment horizontal="left" indent="1"/>
    </xf>
    <xf numFmtId="0" fontId="0" fillId="2" borderId="0" xfId="0" applyFill="1" applyAlignment="1"/>
    <xf numFmtId="0" fontId="1" fillId="3" borderId="1" xfId="0" applyFont="1" applyFill="1" applyBorder="1"/>
    <xf numFmtId="0" fontId="2" fillId="0" borderId="0" xfId="0" applyFont="1"/>
    <xf numFmtId="0" fontId="1" fillId="3" borderId="1" xfId="0" applyFont="1" applyFill="1" applyBorder="1" applyAlignment="1">
      <alignment horizontal="center" vertical="center"/>
    </xf>
    <xf numFmtId="0" fontId="0" fillId="0" borderId="1" xfId="0" applyBorder="1" applyAlignment="1">
      <alignment horizontal="center" vertical="center"/>
    </xf>
    <xf numFmtId="10" fontId="0" fillId="0" borderId="1" xfId="0" applyNumberFormat="1" applyBorder="1"/>
    <xf numFmtId="0" fontId="3" fillId="3" borderId="8" xfId="0" applyFont="1" applyFill="1" applyBorder="1"/>
    <xf numFmtId="0" fontId="3" fillId="3" borderId="0" xfId="0" applyFont="1" applyFill="1"/>
    <xf numFmtId="0" fontId="0" fillId="0" borderId="8" xfId="0" applyBorder="1" applyAlignment="1">
      <alignment horizontal="center" vertical="center"/>
    </xf>
    <xf numFmtId="0" fontId="0" fillId="0" borderId="10" xfId="0" applyBorder="1" applyAlignment="1">
      <alignment horizontal="center" vertical="center"/>
    </xf>
    <xf numFmtId="0" fontId="0" fillId="0" borderId="5" xfId="0" applyBorder="1" applyAlignment="1">
      <alignment horizontal="center" vertical="center"/>
    </xf>
    <xf numFmtId="0" fontId="1" fillId="3" borderId="8"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5" xfId="0" applyFont="1" applyFill="1" applyBorder="1" applyAlignment="1">
      <alignment horizontal="center" vertic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83">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numFmt numFmtId="164" formatCode="[$-F400]h:mm:ss\ AM/PM"/>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fill>
        <patternFill>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fgColor indexed="64"/>
          <bgColor theme="0" tint="-0.499984740745262"/>
        </patternFill>
      </fill>
    </dxf>
    <dxf>
      <fill>
        <patternFill>
          <bgColor rgb="FFFF0000"/>
        </patternFill>
      </fill>
    </dxf>
    <dxf>
      <font>
        <color theme="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499984740745262"/>
        </patternFill>
      </fill>
    </dxf>
    <dxf>
      <fill>
        <patternFill>
          <bgColor rgb="FFFF0000"/>
        </patternFill>
      </fill>
    </dxf>
    <dxf>
      <fill>
        <patternFill>
          <bgColor rgb="FFFF0000"/>
        </patternFill>
      </fill>
    </dxf>
    <dxf>
      <border>
        <left style="thin">
          <color indexed="64"/>
        </left>
        <top style="thin">
          <color indexed="64"/>
        </top>
        <bottom style="thin">
          <color indexed="64"/>
        </bottom>
        <vertical style="thin">
          <color indexed="64"/>
        </vertical>
        <horizontal style="thin">
          <color indexed="64"/>
        </horizontal>
      </border>
    </dxf>
    <dxf>
      <font>
        <color theme="0"/>
      </font>
      <fill>
        <patternFill patternType="solid">
          <fgColor indexed="64"/>
          <bgColor theme="0" tint="-0.499984740745262"/>
        </patternFill>
      </fill>
    </dxf>
    <dxf>
      <font>
        <color theme="0"/>
      </font>
      <fill>
        <patternFill patternType="solid">
          <fgColor indexed="64"/>
          <bgColor theme="0" tint="-0.499984740745262"/>
        </patternFill>
      </fill>
    </dxf>
    <dxf>
      <font>
        <color theme="0"/>
      </font>
      <fill>
        <patternFill patternType="solid">
          <fgColor indexed="64"/>
          <bgColor theme="0" tint="-0.499984740745262"/>
        </patternFill>
      </fill>
    </dxf>
    <dxf>
      <font>
        <color theme="0"/>
      </font>
      <fill>
        <patternFill patternType="solid">
          <fgColor indexed="64"/>
          <bgColor theme="0" tint="-0.499984740745262"/>
        </patternFill>
      </fill>
    </dxf>
    <dxf>
      <font>
        <color theme="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499984740745262"/>
        </patternFill>
      </fill>
    </dxf>
    <dxf>
      <fill>
        <patternFill>
          <bgColor rgb="FFFF0000"/>
        </patternFill>
      </fill>
    </dxf>
    <dxf>
      <fill>
        <patternFill>
          <bgColor rgb="FFFF0000"/>
        </patternFill>
      </fill>
    </dxf>
    <dxf>
      <font>
        <color theme="0"/>
      </font>
      <fill>
        <patternFill patternType="solid">
          <fgColor indexed="64"/>
          <bgColor theme="0" tint="-0.499984740745262"/>
        </patternFill>
      </fill>
    </dxf>
    <dxf>
      <border>
        <left style="thin">
          <color indexed="64"/>
        </left>
        <top style="thin">
          <color indexed="64"/>
        </top>
        <bottom style="thin">
          <color indexed="64"/>
        </bottom>
        <vertical style="thin">
          <color indexed="64"/>
        </vertical>
        <horizontal style="thin">
          <color indexed="64"/>
        </horizontal>
      </border>
    </dxf>
    <dxf>
      <font>
        <color theme="0"/>
      </font>
      <fill>
        <patternFill patternType="solid">
          <fgColor indexed="64"/>
          <bgColor theme="0" tint="-0.499984740745262"/>
        </patternFill>
      </fill>
    </dxf>
    <dxf>
      <font>
        <color theme="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499984740745262"/>
        </patternFill>
      </fill>
    </dxf>
    <dxf>
      <fill>
        <patternFill>
          <bgColor rgb="FFFF0000"/>
        </patternFill>
      </fill>
    </dxf>
    <dxf>
      <fill>
        <patternFill>
          <bgColor rgb="FFFF0000"/>
        </patternFill>
      </fill>
    </dxf>
    <dxf>
      <font>
        <color theme="0"/>
      </font>
      <fill>
        <patternFill patternType="solid">
          <fgColor indexed="64"/>
          <bgColor theme="0" tint="-0.499984740745262"/>
        </patternFill>
      </fill>
    </dxf>
    <dxf>
      <border>
        <left style="thin">
          <color indexed="64"/>
        </left>
        <top style="thin">
          <color indexed="64"/>
        </top>
        <bottom style="thin">
          <color indexed="64"/>
        </bottom>
        <vertical style="thin">
          <color indexed="64"/>
        </vertical>
        <horizontal style="thin">
          <color indexed="64"/>
        </horizontal>
      </border>
    </dxf>
    <dxf>
      <font>
        <color theme="0"/>
      </font>
      <fill>
        <patternFill patternType="solid">
          <fgColor indexed="64"/>
          <bgColor theme="0" tint="-0.499984740745262"/>
        </patternFill>
      </fill>
    </dxf>
    <dxf>
      <font>
        <color theme="0"/>
      </font>
      <fill>
        <patternFill patternType="solid">
          <fgColor indexed="64"/>
          <bgColor theme="0" tint="-0.499984740745262"/>
        </patternFill>
      </fill>
    </dxf>
    <dxf>
      <font>
        <color theme="0"/>
      </font>
      <fill>
        <patternFill patternType="solid">
          <fgColor indexed="64"/>
          <bgColor theme="0" tint="-0.499984740745262"/>
        </patternFill>
      </fill>
    </dxf>
    <dxf>
      <font>
        <color theme="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499984740745262"/>
        </patternFill>
      </fill>
    </dxf>
    <dxf>
      <fill>
        <patternFill>
          <bgColor rgb="FFFF0000"/>
        </patternFill>
      </fill>
    </dxf>
    <dxf>
      <fill>
        <patternFill>
          <bgColor rgb="FFFF0000"/>
        </patternFill>
      </fill>
    </dxf>
    <dxf>
      <border>
        <left style="thin">
          <color indexed="64"/>
        </left>
        <top style="thin">
          <color indexed="64"/>
        </top>
        <bottom style="thin">
          <color indexed="64"/>
        </bottom>
        <vertical style="thin">
          <color indexed="64"/>
        </vertical>
        <horizontal style="thin">
          <color indexed="64"/>
        </horizontal>
      </border>
    </dxf>
    <dxf>
      <numFmt numFmtId="14" formatCode="0.00%"/>
    </dxf>
    <dxf>
      <font>
        <color theme="0"/>
      </font>
      <fill>
        <patternFill patternType="solid">
          <fgColor indexed="64"/>
          <bgColor theme="0" tint="-0.499984740745262"/>
        </patternFill>
      </fill>
    </dxf>
    <dxf>
      <font>
        <color theme="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499984740745262"/>
        </patternFill>
      </fill>
    </dxf>
    <dxf>
      <fill>
        <patternFill>
          <bgColor rgb="FFFF0000"/>
        </patternFill>
      </fill>
    </dxf>
    <dxf>
      <fill>
        <patternFill>
          <bgColor rgb="FFFF0000"/>
        </patternFill>
      </fill>
    </dxf>
    <dxf>
      <font>
        <color theme="0"/>
      </font>
      <fill>
        <patternFill patternType="solid">
          <fgColor indexed="64"/>
          <bgColor theme="0" tint="-0.499984740745262"/>
        </patternFill>
      </fill>
    </dxf>
    <dxf>
      <border>
        <left style="thin">
          <color indexed="64"/>
        </left>
        <top style="thin">
          <color indexed="64"/>
        </top>
        <bottom style="thin">
          <color indexed="64"/>
        </bottom>
        <vertical style="thin">
          <color indexed="64"/>
        </vertical>
        <horizontal style="thin">
          <color indexed="64"/>
        </horizontal>
      </border>
    </dxf>
    <dxf>
      <font>
        <color theme="0"/>
      </font>
      <fill>
        <patternFill patternType="solid">
          <fgColor indexed="64"/>
          <bgColor theme="0" tint="-0.499984740745262"/>
        </patternFill>
      </fill>
    </dxf>
    <dxf>
      <font>
        <color theme="0"/>
      </font>
      <fill>
        <patternFill patternType="solid">
          <fgColor indexed="64"/>
          <bgColor theme="0" tint="-0.499984740745262"/>
        </patternFill>
      </fill>
    </dxf>
    <dxf>
      <font>
        <color theme="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499984740745262"/>
        </patternFill>
      </fill>
    </dxf>
    <dxf>
      <fill>
        <patternFill patternType="none">
          <bgColor auto="1"/>
        </patternFill>
      </fill>
    </dxf>
    <dxf>
      <fill>
        <patternFill>
          <bgColor rgb="FFFFE2DD"/>
        </patternFill>
      </fill>
    </dxf>
    <dxf>
      <font>
        <color theme="0"/>
      </font>
      <fill>
        <patternFill>
          <bgColor rgb="FFFF0000"/>
        </patternFill>
      </fill>
    </dxf>
  </dxfs>
  <tableStyles count="2" defaultTableStyle="TableStyleMedium2" defaultPivotStyle="PivotStyleLight16">
    <tableStyle name="Slicer Style 1" pivot="0" table="0" count="8" xr9:uid="{CC830E8D-9915-46F6-86C4-B412BB1B5C3C}"/>
    <tableStyle name="Table Style 1" pivot="0" count="3" xr9:uid="{B0D77D5D-9486-4300-BDB6-AB1BF18FAA95}">
      <tableStyleElement type="headerRow" dxfId="82"/>
      <tableStyleElement type="secondRowStripe" dxfId="81"/>
      <tableStyleElement type="secondColumnStripe" dxfId="80"/>
    </tableStyle>
  </tableStyles>
  <colors>
    <mruColors>
      <color rgb="FFFB7575"/>
      <color rgb="FF993300"/>
      <color rgb="FF990033"/>
      <color rgb="FF800000"/>
      <color rgb="FFEB0707"/>
      <color rgb="FF663300"/>
      <color rgb="FFFFFFFF"/>
      <color rgb="FFCC9900"/>
      <color rgb="FFFF7D7D"/>
      <color rgb="FF990000"/>
    </mruColors>
  </colors>
  <extLst>
    <ext xmlns:x14="http://schemas.microsoft.com/office/spreadsheetml/2009/9/main" uri="{46F421CA-312F-682f-3DD2-61675219B42D}">
      <x14:dxfs count="8">
        <dxf>
          <font>
            <b/>
            <i val="0"/>
            <color theme="0" tint="-4.9989318521683403E-2"/>
          </font>
          <fill>
            <patternFill>
              <bgColor rgb="FFFF0000"/>
            </patternFill>
          </fill>
          <border>
            <left style="medium">
              <color auto="1"/>
            </left>
            <right style="medium">
              <color auto="1"/>
            </right>
            <top style="medium">
              <color auto="1"/>
            </top>
            <bottom style="medium">
              <color auto="1"/>
            </bottom>
          </border>
        </dxf>
        <dxf>
          <font>
            <b/>
            <i val="0"/>
            <color theme="0"/>
          </font>
          <fill>
            <patternFill>
              <bgColor rgb="FFFF0000"/>
            </patternFill>
          </fill>
        </dxf>
        <dxf>
          <font>
            <b/>
            <i val="0"/>
            <color theme="0"/>
          </font>
          <fill>
            <patternFill>
              <bgColor rgb="FF800000"/>
            </patternFill>
          </fill>
          <border>
            <left style="medium">
              <color auto="1"/>
            </left>
            <right style="medium">
              <color auto="1"/>
            </right>
            <top style="medium">
              <color auto="1"/>
            </top>
            <bottom style="medium">
              <color auto="1"/>
            </bottom>
          </border>
        </dxf>
        <dxf>
          <font>
            <b/>
            <i val="0"/>
            <color theme="0"/>
          </font>
          <fill>
            <patternFill>
              <bgColor rgb="FFFF0000"/>
            </patternFill>
          </fill>
        </dxf>
        <dxf>
          <font>
            <b/>
            <i val="0"/>
            <color theme="0"/>
          </font>
          <fill>
            <patternFill>
              <bgColor rgb="FFFF0000"/>
            </patternFill>
          </fill>
        </dxf>
        <dxf>
          <font>
            <b/>
            <i val="0"/>
            <color theme="0"/>
          </font>
          <fill>
            <patternFill>
              <bgColor rgb="FF990000"/>
            </patternFill>
          </fill>
        </dxf>
        <dxf>
          <font>
            <b/>
            <i val="0"/>
            <color theme="0"/>
          </font>
          <fill>
            <patternFill>
              <bgColor rgb="FFFF0000"/>
            </patternFill>
          </fill>
        </dxf>
        <dxf>
          <font>
            <b/>
            <i val="0"/>
            <color theme="0"/>
          </font>
          <fill>
            <patternFill>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[Student_Addmission.xlsx]Pivot Table!PivotTable7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19403049826E-2"/>
          <c:y val="8.5448659019145431E-2"/>
          <c:w val="0.93888888888888888"/>
          <c:h val="0.70918234179060946"/>
        </c:manualLayout>
      </c:layout>
      <c:barChart>
        <c:barDir val="col"/>
        <c:grouping val="clustered"/>
        <c:varyColors val="0"/>
        <c:ser>
          <c:idx val="0"/>
          <c:order val="0"/>
          <c:tx>
            <c:strRef>
              <c:f>'Pivot Table'!$E$7</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Table'!$D$8:$D$12</c:f>
              <c:strCache>
                <c:ptCount val="5"/>
                <c:pt idx="0">
                  <c:v>17</c:v>
                </c:pt>
                <c:pt idx="1">
                  <c:v>18</c:v>
                </c:pt>
                <c:pt idx="2">
                  <c:v>20</c:v>
                </c:pt>
                <c:pt idx="3">
                  <c:v>21</c:v>
                </c:pt>
                <c:pt idx="4">
                  <c:v>22</c:v>
                </c:pt>
              </c:strCache>
            </c:strRef>
          </c:cat>
          <c:val>
            <c:numRef>
              <c:f>'Pivot Table'!$E$8:$E$12</c:f>
              <c:numCache>
                <c:formatCode>General</c:formatCode>
                <c:ptCount val="5"/>
                <c:pt idx="0">
                  <c:v>1</c:v>
                </c:pt>
                <c:pt idx="1">
                  <c:v>1</c:v>
                </c:pt>
                <c:pt idx="2">
                  <c:v>1</c:v>
                </c:pt>
                <c:pt idx="3">
                  <c:v>3</c:v>
                </c:pt>
                <c:pt idx="4">
                  <c:v>4</c:v>
                </c:pt>
              </c:numCache>
            </c:numRef>
          </c:val>
          <c:extLst>
            <c:ext xmlns:c16="http://schemas.microsoft.com/office/drawing/2014/chart" uri="{C3380CC4-5D6E-409C-BE32-E72D297353CC}">
              <c16:uniqueId val="{00000029-3E17-46BF-A942-2F88FBE75CE0}"/>
            </c:ext>
          </c:extLst>
        </c:ser>
        <c:dLbls>
          <c:showLegendKey val="0"/>
          <c:showVal val="0"/>
          <c:showCatName val="0"/>
          <c:showSerName val="0"/>
          <c:showPercent val="0"/>
          <c:showBubbleSize val="0"/>
        </c:dLbls>
        <c:gapWidth val="219"/>
        <c:overlap val="-27"/>
        <c:axId val="113527376"/>
        <c:axId val="113528336"/>
      </c:barChart>
      <c:catAx>
        <c:axId val="11352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crossAx val="113528336"/>
        <c:crosses val="autoZero"/>
        <c:auto val="1"/>
        <c:lblAlgn val="ctr"/>
        <c:lblOffset val="100"/>
        <c:noMultiLvlLbl val="0"/>
      </c:catAx>
      <c:valAx>
        <c:axId val="113528336"/>
        <c:scaling>
          <c:orientation val="minMax"/>
        </c:scaling>
        <c:delete val="1"/>
        <c:axPos val="l"/>
        <c:numFmt formatCode="General" sourceLinked="1"/>
        <c:majorTickMark val="none"/>
        <c:minorTickMark val="none"/>
        <c:tickLblPos val="nextTo"/>
        <c:crossAx val="11352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[Student_Addmission.xlsx]Pivot Table!PivotTable10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222003499562553"/>
          <c:y val="7.8014184397163122E-2"/>
          <c:w val="0.47777996500437447"/>
          <c:h val="0.84397163120567376"/>
        </c:manualLayout>
      </c:layout>
      <c:barChart>
        <c:barDir val="bar"/>
        <c:grouping val="clustered"/>
        <c:varyColors val="0"/>
        <c:ser>
          <c:idx val="0"/>
          <c:order val="0"/>
          <c:tx>
            <c:strRef>
              <c:f>'Pivot Table'!$B$13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Table'!$A$14:$A$19</c:f>
              <c:strCache>
                <c:ptCount val="6"/>
                <c:pt idx="0">
                  <c:v>CorelDRAW</c:v>
                </c:pt>
                <c:pt idx="1">
                  <c:v>UI/UX &amp; Graphic Design</c:v>
                </c:pt>
                <c:pt idx="2">
                  <c:v>AI/ML &amp; Data Science</c:v>
                </c:pt>
                <c:pt idx="3">
                  <c:v>Graphic Design &amp; Video Editing</c:v>
                </c:pt>
                <c:pt idx="4">
                  <c:v>Game Design &amp; Development</c:v>
                </c:pt>
                <c:pt idx="5">
                  <c:v>Data Structure &amp; Algorithm</c:v>
                </c:pt>
              </c:strCache>
            </c:strRef>
          </c:cat>
          <c:val>
            <c:numRef>
              <c:f>'Pivot Table'!$B$14:$B$19</c:f>
              <c:numCache>
                <c:formatCode>General</c:formatCode>
                <c:ptCount val="6"/>
                <c:pt idx="0">
                  <c:v>3</c:v>
                </c:pt>
                <c:pt idx="1">
                  <c:v>2</c:v>
                </c:pt>
                <c:pt idx="2">
                  <c:v>2</c:v>
                </c:pt>
                <c:pt idx="3">
                  <c:v>1</c:v>
                </c:pt>
                <c:pt idx="4">
                  <c:v>1</c:v>
                </c:pt>
                <c:pt idx="5">
                  <c:v>1</c:v>
                </c:pt>
              </c:numCache>
            </c:numRef>
          </c:val>
          <c:extLst>
            <c:ext xmlns:c16="http://schemas.microsoft.com/office/drawing/2014/chart" uri="{C3380CC4-5D6E-409C-BE32-E72D297353CC}">
              <c16:uniqueId val="{00000029-D382-4AB1-B122-01A2CDBCC6E7}"/>
            </c:ext>
          </c:extLst>
        </c:ser>
        <c:dLbls>
          <c:showLegendKey val="0"/>
          <c:showVal val="0"/>
          <c:showCatName val="0"/>
          <c:showSerName val="0"/>
          <c:showPercent val="0"/>
          <c:showBubbleSize val="0"/>
        </c:dLbls>
        <c:gapWidth val="182"/>
        <c:axId val="113524976"/>
        <c:axId val="113526416"/>
      </c:barChart>
      <c:catAx>
        <c:axId val="11352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526416"/>
        <c:crosses val="autoZero"/>
        <c:auto val="1"/>
        <c:lblAlgn val="ctr"/>
        <c:lblOffset val="100"/>
        <c:noMultiLvlLbl val="0"/>
      </c:catAx>
      <c:valAx>
        <c:axId val="113526416"/>
        <c:scaling>
          <c:orientation val="minMax"/>
        </c:scaling>
        <c:delete val="1"/>
        <c:axPos val="b"/>
        <c:numFmt formatCode="General" sourceLinked="1"/>
        <c:majorTickMark val="none"/>
        <c:minorTickMark val="none"/>
        <c:tickLblPos val="nextTo"/>
        <c:crossAx val="113524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[Student_Addmission.xlsx]Pivot Table!PivotTable8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7D7D"/>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23148148148148148"/>
          <c:w val="0.93888888888888888"/>
          <c:h val="0.59643482064741904"/>
        </c:manualLayout>
      </c:layout>
      <c:barChart>
        <c:barDir val="col"/>
        <c:grouping val="clustered"/>
        <c:varyColors val="0"/>
        <c:ser>
          <c:idx val="0"/>
          <c:order val="0"/>
          <c:tx>
            <c:strRef>
              <c:f>'Pivot Table'!$I$2</c:f>
              <c:strCache>
                <c:ptCount val="1"/>
                <c:pt idx="0">
                  <c:v>Total</c:v>
                </c:pt>
              </c:strCache>
            </c:strRef>
          </c:tx>
          <c:spPr>
            <a:solidFill>
              <a:srgbClr val="FF7D7D"/>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Table'!$H$3:$H$10</c:f>
              <c:strCache>
                <c:ptCount val="8"/>
                <c:pt idx="0">
                  <c:v>LinkedIn</c:v>
                </c:pt>
                <c:pt idx="1">
                  <c:v>Website</c:v>
                </c:pt>
                <c:pt idx="2">
                  <c:v>Branch Visit</c:v>
                </c:pt>
                <c:pt idx="3">
                  <c:v>Friend Referral</c:v>
                </c:pt>
                <c:pt idx="4">
                  <c:v>WhatsApp</c:v>
                </c:pt>
                <c:pt idx="5">
                  <c:v>College Seminar</c:v>
                </c:pt>
                <c:pt idx="6">
                  <c:v>Ads</c:v>
                </c:pt>
                <c:pt idx="7">
                  <c:v>Family Referral</c:v>
                </c:pt>
              </c:strCache>
            </c:strRef>
          </c:cat>
          <c:val>
            <c:numRef>
              <c:f>'Pivot Table'!$I$3:$I$10</c:f>
              <c:numCache>
                <c:formatCode>General</c:formatCode>
                <c:ptCount val="8"/>
                <c:pt idx="0">
                  <c:v>2</c:v>
                </c:pt>
                <c:pt idx="1">
                  <c:v>2</c:v>
                </c:pt>
                <c:pt idx="2">
                  <c:v>1</c:v>
                </c:pt>
                <c:pt idx="3">
                  <c:v>1</c:v>
                </c:pt>
                <c:pt idx="4">
                  <c:v>1</c:v>
                </c:pt>
                <c:pt idx="5">
                  <c:v>1</c:v>
                </c:pt>
                <c:pt idx="6">
                  <c:v>1</c:v>
                </c:pt>
                <c:pt idx="7">
                  <c:v>1</c:v>
                </c:pt>
              </c:numCache>
            </c:numRef>
          </c:val>
          <c:extLst>
            <c:ext xmlns:c16="http://schemas.microsoft.com/office/drawing/2014/chart" uri="{C3380CC4-5D6E-409C-BE32-E72D297353CC}">
              <c16:uniqueId val="{00000029-2BD5-4698-A6AF-BBE5056EA3C8}"/>
            </c:ext>
          </c:extLst>
        </c:ser>
        <c:dLbls>
          <c:showLegendKey val="0"/>
          <c:showVal val="0"/>
          <c:showCatName val="0"/>
          <c:showSerName val="0"/>
          <c:showPercent val="0"/>
          <c:showBubbleSize val="0"/>
        </c:dLbls>
        <c:gapWidth val="219"/>
        <c:overlap val="-27"/>
        <c:axId val="193794368"/>
        <c:axId val="193803968"/>
      </c:barChart>
      <c:catAx>
        <c:axId val="19379436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b" anchorCtr="1"/>
          <a:lstStyle/>
          <a:p>
            <a:pPr>
              <a:defRPr sz="1000" b="0" i="0" u="none" strike="noStrike" kern="1200" baseline="0">
                <a:solidFill>
                  <a:schemeClr val="tx1"/>
                </a:solidFill>
                <a:latin typeface="+mn-lt"/>
                <a:ea typeface="+mn-ea"/>
                <a:cs typeface="+mn-cs"/>
              </a:defRPr>
            </a:pPr>
            <a:endParaRPr lang="en-US"/>
          </a:p>
        </c:txPr>
        <c:crossAx val="193803968"/>
        <c:crosses val="autoZero"/>
        <c:auto val="1"/>
        <c:lblAlgn val="ctr"/>
        <c:lblOffset val="100"/>
        <c:noMultiLvlLbl val="0"/>
      </c:catAx>
      <c:valAx>
        <c:axId val="193803968"/>
        <c:scaling>
          <c:orientation val="minMax"/>
        </c:scaling>
        <c:delete val="1"/>
        <c:axPos val="l"/>
        <c:numFmt formatCode="General" sourceLinked="1"/>
        <c:majorTickMark val="none"/>
        <c:minorTickMark val="none"/>
        <c:tickLblPos val="nextTo"/>
        <c:crossAx val="19379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[Student_Addmission.xlsx]Pivot Table!PivotTable9</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990033"/>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rgbClr val="800000"/>
          </a:solidFill>
          <a:ln w="19050">
            <a:solidFill>
              <a:schemeClr val="lt1"/>
            </a:solidFill>
          </a:ln>
          <a:effectLst/>
        </c:spPr>
        <c:dLbl>
          <c:idx val="0"/>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2">
              <a:lumMod val="40000"/>
              <a:lumOff val="60000"/>
            </a:schemeClr>
          </a:solidFill>
          <a:ln w="19050">
            <a:solidFill>
              <a:schemeClr val="lt1"/>
            </a:solidFill>
          </a:ln>
          <a:effectLst/>
        </c:spPr>
      </c:pivotFmt>
      <c:pivotFmt>
        <c:idx val="28"/>
        <c:spPr>
          <a:solidFill>
            <a:srgbClr val="FB7575"/>
          </a:solidFill>
          <a:ln w="19050">
            <a:solidFill>
              <a:schemeClr val="lt1"/>
            </a:solidFill>
          </a:ln>
          <a:effectLst/>
        </c:spPr>
      </c:pivotFmt>
      <c:pivotFmt>
        <c:idx val="29"/>
        <c:spPr>
          <a:solidFill>
            <a:srgbClr val="663300"/>
          </a:solidFill>
          <a:ln w="19050">
            <a:solidFill>
              <a:schemeClr val="lt1"/>
            </a:solidFill>
          </a:ln>
          <a:effectLst/>
        </c:spPr>
      </c:pivotFmt>
      <c:pivotFmt>
        <c:idx val="30"/>
        <c:spPr>
          <a:solidFill>
            <a:srgbClr val="FF0000"/>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rgbClr val="CC9900"/>
          </a:solidFill>
          <a:ln w="19050">
            <a:solidFill>
              <a:schemeClr val="lt1"/>
            </a:solidFill>
          </a:ln>
          <a:effectLst/>
        </c:spPr>
      </c:pivotFmt>
      <c:pivotFmt>
        <c:idx val="33"/>
        <c:spPr>
          <a:solidFill>
            <a:srgbClr val="993300"/>
          </a:solidFill>
          <a:ln w="19050">
            <a:solidFill>
              <a:schemeClr val="lt1"/>
            </a:solidFill>
          </a:ln>
          <a:effectLst/>
        </c:spPr>
      </c:pivotFmt>
      <c:pivotFmt>
        <c:idx val="34"/>
        <c:spPr>
          <a:solidFill>
            <a:schemeClr val="accent2">
              <a:lumMod val="75000"/>
            </a:schemeClr>
          </a:solidFill>
          <a:ln w="19050">
            <a:solidFill>
              <a:schemeClr val="lt1"/>
            </a:solidFill>
          </a:ln>
          <a:effectLst/>
        </c:spPr>
      </c:pivotFmt>
      <c:pivotFmt>
        <c:idx val="35"/>
        <c:spPr>
          <a:solidFill>
            <a:schemeClr val="accent2">
              <a:lumMod val="40000"/>
              <a:lumOff val="60000"/>
            </a:schemeClr>
          </a:solidFill>
          <a:ln w="19050">
            <a:solidFill>
              <a:schemeClr val="lt1"/>
            </a:solidFill>
          </a:ln>
          <a:effectLst/>
        </c:spPr>
      </c:pivotFmt>
      <c:pivotFmt>
        <c:idx val="36"/>
        <c:spPr>
          <a:solidFill>
            <a:srgbClr val="C00000"/>
          </a:solidFill>
          <a:ln w="19050">
            <a:solidFill>
              <a:schemeClr val="lt1"/>
            </a:solidFill>
          </a:ln>
          <a:effectLst/>
        </c:spPr>
      </c:pivotFmt>
      <c:pivotFmt>
        <c:idx val="37"/>
        <c:spPr>
          <a:solidFill>
            <a:srgbClr val="FB7575"/>
          </a:solidFill>
          <a:ln w="19050">
            <a:solidFill>
              <a:schemeClr val="lt1"/>
            </a:solidFill>
          </a:ln>
          <a:effectLst/>
        </c:spPr>
      </c:pivotFmt>
      <c:pivotFmt>
        <c:idx val="38"/>
        <c:spPr>
          <a:solidFill>
            <a:srgbClr val="FF0000"/>
          </a:solidFill>
          <a:ln w="19050">
            <a:solidFill>
              <a:schemeClr val="lt1"/>
            </a:solidFill>
          </a:ln>
          <a:effectLst/>
        </c:spPr>
      </c:pivotFmt>
      <c:pivotFmt>
        <c:idx val="39"/>
        <c:spPr>
          <a:solidFill>
            <a:schemeClr val="tx1">
              <a:lumMod val="95000"/>
              <a:lumOff val="5000"/>
            </a:schemeClr>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rgbClr val="993300"/>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rgbClr val="FF0000"/>
          </a:solidFill>
          <a:ln w="19050">
            <a:solidFill>
              <a:schemeClr val="lt1"/>
            </a:solidFill>
          </a:ln>
          <a:effectLst/>
        </c:spPr>
      </c:pivotFmt>
    </c:pivotFmts>
    <c:plotArea>
      <c:layout>
        <c:manualLayout>
          <c:layoutTarget val="inner"/>
          <c:xMode val="edge"/>
          <c:yMode val="edge"/>
          <c:x val="2.1504155730533686E-2"/>
          <c:y val="0.10648148148148148"/>
          <c:w val="0.52222222222222225"/>
          <c:h val="0.87037037037037035"/>
        </c:manualLayout>
      </c:layout>
      <c:doughnutChart>
        <c:varyColors val="1"/>
        <c:ser>
          <c:idx val="0"/>
          <c:order val="0"/>
          <c:tx>
            <c:strRef>
              <c:f>'Pivot Table'!$L$2</c:f>
              <c:strCache>
                <c:ptCount val="1"/>
                <c:pt idx="0">
                  <c:v>Total</c:v>
                </c:pt>
              </c:strCache>
            </c:strRef>
          </c:tx>
          <c:dPt>
            <c:idx val="0"/>
            <c:bubble3D val="0"/>
            <c:spPr>
              <a:solidFill>
                <a:srgbClr val="663300"/>
              </a:solidFill>
              <a:ln w="19050">
                <a:solidFill>
                  <a:schemeClr val="lt1"/>
                </a:solidFill>
              </a:ln>
              <a:effectLst/>
            </c:spPr>
            <c:extLst>
              <c:ext xmlns:c16="http://schemas.microsoft.com/office/drawing/2014/chart" uri="{C3380CC4-5D6E-409C-BE32-E72D297353CC}">
                <c16:uniqueId val="{00000001-9C4C-4292-ACD9-D554836B2E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4C-4292-ACD9-D554836B2E4F}"/>
              </c:ext>
            </c:extLst>
          </c:dPt>
          <c:dPt>
            <c:idx val="2"/>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9C4C-4292-ACD9-D554836B2E4F}"/>
              </c:ext>
            </c:extLst>
          </c:dPt>
          <c:dPt>
            <c:idx val="3"/>
            <c:bubble3D val="0"/>
            <c:spPr>
              <a:solidFill>
                <a:srgbClr val="CC9900"/>
              </a:solidFill>
              <a:ln w="19050">
                <a:solidFill>
                  <a:schemeClr val="lt1"/>
                </a:solidFill>
              </a:ln>
              <a:effectLst/>
            </c:spPr>
            <c:extLst>
              <c:ext xmlns:c16="http://schemas.microsoft.com/office/drawing/2014/chart" uri="{C3380CC4-5D6E-409C-BE32-E72D297353CC}">
                <c16:uniqueId val="{00000007-9C4C-4292-ACD9-D554836B2E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4C-4292-ACD9-D554836B2E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Table'!$K$3:$K$7</c:f>
              <c:strCache>
                <c:ptCount val="5"/>
                <c:pt idx="0">
                  <c:v>Vesu</c:v>
                </c:pt>
                <c:pt idx="1">
                  <c:v>A.K. Road</c:v>
                </c:pt>
                <c:pt idx="2">
                  <c:v>Yogi Chowk</c:v>
                </c:pt>
                <c:pt idx="3">
                  <c:v>Mota Varachha</c:v>
                </c:pt>
                <c:pt idx="4">
                  <c:v>Ved Road</c:v>
                </c:pt>
              </c:strCache>
            </c:strRef>
          </c:cat>
          <c:val>
            <c:numRef>
              <c:f>'Pivot Table'!$L$3:$L$7</c:f>
              <c:numCache>
                <c:formatCode>General</c:formatCode>
                <c:ptCount val="5"/>
                <c:pt idx="0">
                  <c:v>2</c:v>
                </c:pt>
                <c:pt idx="1">
                  <c:v>2</c:v>
                </c:pt>
                <c:pt idx="2">
                  <c:v>2</c:v>
                </c:pt>
                <c:pt idx="3">
                  <c:v>2</c:v>
                </c:pt>
                <c:pt idx="4">
                  <c:v>2</c:v>
                </c:pt>
              </c:numCache>
            </c:numRef>
          </c:val>
          <c:extLst>
            <c:ext xmlns:c16="http://schemas.microsoft.com/office/drawing/2014/chart" uri="{C3380CC4-5D6E-409C-BE32-E72D297353CC}">
              <c16:uniqueId val="{00000053-CFB6-4A1A-868E-FE1015329710}"/>
            </c:ext>
          </c:extLst>
        </c:ser>
        <c:dLbls>
          <c:showLegendKey val="0"/>
          <c:showVal val="0"/>
          <c:showCatName val="0"/>
          <c:showSerName val="0"/>
          <c:showPercent val="0"/>
          <c:showBubbleSize val="0"/>
          <c:showLeaderLines val="1"/>
        </c:dLbls>
        <c:firstSliceAng val="107"/>
        <c:holeSize val="62"/>
      </c:doughnutChart>
      <c:spPr>
        <a:noFill/>
        <a:ln>
          <a:noFill/>
        </a:ln>
        <a:effectLst/>
      </c:spPr>
    </c:plotArea>
    <c:legend>
      <c:legendPos val="r"/>
      <c:layout>
        <c:manualLayout>
          <c:xMode val="edge"/>
          <c:yMode val="edge"/>
          <c:x val="0.71196778088689328"/>
          <c:y val="0.13323865291531659"/>
          <c:w val="0.28803221911310672"/>
          <c:h val="0.8653901731186448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[Student_Addmission.xlsx]Pivot Table!PivotTable6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rgbClr val="FF000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7D7D"/>
          </a:solidFill>
          <a:ln>
            <a:noFill/>
          </a:ln>
          <a:effectLst>
            <a:outerShdw blurRad="317500" algn="ctr" rotWithShape="0">
              <a:prstClr val="black">
                <a:alpha val="25000"/>
              </a:prstClr>
            </a:outerShdw>
          </a:effectLst>
        </c:spPr>
        <c:dLbl>
          <c:idx val="0"/>
          <c:layout>
            <c:manualLayout>
              <c:x val="-0.1382024420860436"/>
              <c:y val="0.2580199214228656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0000"/>
          </a:solidFill>
          <a:ln>
            <a:noFill/>
          </a:ln>
          <a:effectLst>
            <a:outerShdw blurRad="317500" algn="ctr" rotWithShape="0">
              <a:prstClr val="black">
                <a:alpha val="25000"/>
              </a:prstClr>
            </a:outerShdw>
          </a:effectLst>
        </c:spPr>
        <c:dLbl>
          <c:idx val="0"/>
          <c:layout>
            <c:manualLayout>
              <c:x val="0.20644573776104075"/>
              <c:y val="-0.267528080729039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
          <c:y val="0.1100384674137955"/>
          <c:w val="0.68252665512246657"/>
          <c:h val="0.87031176658473242"/>
        </c:manualLayout>
      </c:layout>
      <c:pieChart>
        <c:varyColors val="1"/>
        <c:ser>
          <c:idx val="0"/>
          <c:order val="0"/>
          <c:tx>
            <c:strRef>
              <c:f>'Pivot Table'!$E$2</c:f>
              <c:strCache>
                <c:ptCount val="1"/>
                <c:pt idx="0">
                  <c:v>Total</c:v>
                </c:pt>
              </c:strCache>
            </c:strRef>
          </c:tx>
          <c:spPr>
            <a:solidFill>
              <a:srgbClr val="FF0000"/>
            </a:solidFill>
          </c:spPr>
          <c:dPt>
            <c:idx val="0"/>
            <c:bubble3D val="0"/>
            <c:spPr>
              <a:solidFill>
                <a:srgbClr val="FF7D7D"/>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E-9850-4AAF-A104-263EF529F33B}"/>
              </c:ext>
            </c:extLst>
          </c:dPt>
          <c:dPt>
            <c:idx val="1"/>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9850-4AAF-A104-263EF529F33B}"/>
              </c:ext>
            </c:extLst>
          </c:dPt>
          <c:dLbls>
            <c:dLbl>
              <c:idx val="0"/>
              <c:layout>
                <c:manualLayout>
                  <c:x val="-0.1382024420860436"/>
                  <c:y val="0.2580199214228656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E-9850-4AAF-A104-263EF529F33B}"/>
                </c:ext>
              </c:extLst>
            </c:dLbl>
            <c:dLbl>
              <c:idx val="1"/>
              <c:layout>
                <c:manualLayout>
                  <c:x val="0.20644573776104075"/>
                  <c:y val="-0.2675280807290393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F-9850-4AAF-A104-263EF529F33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Table'!$D$3:$D$4</c:f>
              <c:strCache>
                <c:ptCount val="2"/>
                <c:pt idx="0">
                  <c:v>Offline</c:v>
                </c:pt>
                <c:pt idx="1">
                  <c:v>Online</c:v>
                </c:pt>
              </c:strCache>
            </c:strRef>
          </c:cat>
          <c:val>
            <c:numRef>
              <c:f>'Pivot Table'!$E$3:$E$4</c:f>
              <c:numCache>
                <c:formatCode>0.00%</c:formatCode>
                <c:ptCount val="2"/>
                <c:pt idx="0">
                  <c:v>0.4</c:v>
                </c:pt>
                <c:pt idx="1">
                  <c:v>0.6</c:v>
                </c:pt>
              </c:numCache>
            </c:numRef>
          </c:val>
          <c:extLst>
            <c:ext xmlns:c16="http://schemas.microsoft.com/office/drawing/2014/chart" uri="{C3380CC4-5D6E-409C-BE32-E72D297353CC}">
              <c16:uniqueId val="{0000002D-9850-4AAF-A104-263EF529F33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7.emf"/><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38099</xdr:colOff>
      <xdr:row>0</xdr:row>
      <xdr:rowOff>38100</xdr:rowOff>
    </xdr:from>
    <xdr:to>
      <xdr:col>11</xdr:col>
      <xdr:colOff>104774</xdr:colOff>
      <xdr:row>3</xdr:row>
      <xdr:rowOff>104775</xdr:rowOff>
    </xdr:to>
    <xdr:sp macro="" textlink="">
      <xdr:nvSpPr>
        <xdr:cNvPr id="2" name="Rectangle: Rounded Corners 1">
          <a:extLst>
            <a:ext uri="{FF2B5EF4-FFF2-40B4-BE49-F238E27FC236}">
              <a16:creationId xmlns:a16="http://schemas.microsoft.com/office/drawing/2014/main" id="{0B4A4085-EEA0-E99E-1F96-889EB862B7D6}"/>
            </a:ext>
          </a:extLst>
        </xdr:cNvPr>
        <xdr:cNvSpPr/>
      </xdr:nvSpPr>
      <xdr:spPr>
        <a:xfrm>
          <a:off x="38099" y="38100"/>
          <a:ext cx="6772275" cy="638175"/>
        </a:xfrm>
        <a:prstGeom prst="roundRect">
          <a:avLst>
            <a:gd name="adj" fmla="val 77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161925</xdr:colOff>
      <xdr:row>0</xdr:row>
      <xdr:rowOff>171450</xdr:rowOff>
    </xdr:from>
    <xdr:to>
      <xdr:col>10</xdr:col>
      <xdr:colOff>457200</xdr:colOff>
      <xdr:row>3</xdr:row>
      <xdr:rowOff>9525</xdr:rowOff>
    </xdr:to>
    <xdr:sp macro="" textlink="">
      <xdr:nvSpPr>
        <xdr:cNvPr id="3" name="TextBox 2">
          <a:extLst>
            <a:ext uri="{FF2B5EF4-FFF2-40B4-BE49-F238E27FC236}">
              <a16:creationId xmlns:a16="http://schemas.microsoft.com/office/drawing/2014/main" id="{E14B6357-1374-3A46-E940-2AD90DC578EA}"/>
            </a:ext>
          </a:extLst>
        </xdr:cNvPr>
        <xdr:cNvSpPr txBox="1"/>
      </xdr:nvSpPr>
      <xdr:spPr>
        <a:xfrm>
          <a:off x="771525" y="171450"/>
          <a:ext cx="57816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effectLst>
                <a:outerShdw blurRad="50800" dist="38100" dir="2700000" algn="tl" rotWithShape="0">
                  <a:prstClr val="black">
                    <a:alpha val="40000"/>
                  </a:prstClr>
                </a:outerShdw>
              </a:effectLst>
            </a:rPr>
            <a:t>STUDENT ADMISSION ANALYSIS DASHBOARD</a:t>
          </a:r>
        </a:p>
      </xdr:txBody>
    </xdr:sp>
    <xdr:clientData/>
  </xdr:twoCellAnchor>
  <xdr:twoCellAnchor editAs="absolute">
    <xdr:from>
      <xdr:col>11</xdr:col>
      <xdr:colOff>133350</xdr:colOff>
      <xdr:row>0</xdr:row>
      <xdr:rowOff>47625</xdr:rowOff>
    </xdr:from>
    <xdr:to>
      <xdr:col>14</xdr:col>
      <xdr:colOff>523876</xdr:colOff>
      <xdr:row>3</xdr:row>
      <xdr:rowOff>114300</xdr:rowOff>
    </xdr:to>
    <xdr:sp macro="" textlink="">
      <xdr:nvSpPr>
        <xdr:cNvPr id="6" name="Rectangle: Rounded Corners 5">
          <a:extLst>
            <a:ext uri="{FF2B5EF4-FFF2-40B4-BE49-F238E27FC236}">
              <a16:creationId xmlns:a16="http://schemas.microsoft.com/office/drawing/2014/main" id="{341AFDFC-68BB-6E8C-65EB-887ED8674671}"/>
            </a:ext>
          </a:extLst>
        </xdr:cNvPr>
        <xdr:cNvSpPr/>
      </xdr:nvSpPr>
      <xdr:spPr>
        <a:xfrm>
          <a:off x="6838950" y="47625"/>
          <a:ext cx="2219326" cy="638175"/>
        </a:xfrm>
        <a:prstGeom prst="roundRect">
          <a:avLst>
            <a:gd name="adj" fmla="val 77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180974</xdr:colOff>
      <xdr:row>0</xdr:row>
      <xdr:rowOff>133350</xdr:rowOff>
    </xdr:from>
    <xdr:to>
      <xdr:col>14</xdr:col>
      <xdr:colOff>476249</xdr:colOff>
      <xdr:row>3</xdr:row>
      <xdr:rowOff>57150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A0989C0F-D626-42A1-8FF5-2E7328BB6D3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86574" y="133350"/>
              <a:ext cx="2124075" cy="49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28575</xdr:colOff>
      <xdr:row>3</xdr:row>
      <xdr:rowOff>142873</xdr:rowOff>
    </xdr:from>
    <xdr:to>
      <xdr:col>2</xdr:col>
      <xdr:colOff>381001</xdr:colOff>
      <xdr:row>30</xdr:row>
      <xdr:rowOff>104774</xdr:rowOff>
    </xdr:to>
    <xdr:sp macro="" textlink="">
      <xdr:nvSpPr>
        <xdr:cNvPr id="9" name="Rectangle: Rounded Corners 8">
          <a:extLst>
            <a:ext uri="{FF2B5EF4-FFF2-40B4-BE49-F238E27FC236}">
              <a16:creationId xmlns:a16="http://schemas.microsoft.com/office/drawing/2014/main" id="{27483488-1611-A972-9C34-954DB86367AC}"/>
            </a:ext>
          </a:extLst>
        </xdr:cNvPr>
        <xdr:cNvSpPr/>
      </xdr:nvSpPr>
      <xdr:spPr>
        <a:xfrm>
          <a:off x="28575" y="714373"/>
          <a:ext cx="1571626" cy="5105401"/>
        </a:xfrm>
        <a:prstGeom prst="roundRect">
          <a:avLst>
            <a:gd name="adj" fmla="val 77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103414</xdr:colOff>
      <xdr:row>4</xdr:row>
      <xdr:rowOff>118380</xdr:rowOff>
    </xdr:from>
    <xdr:to>
      <xdr:col>2</xdr:col>
      <xdr:colOff>332014</xdr:colOff>
      <xdr:row>30</xdr:row>
      <xdr:rowOff>33617</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F59E2B4E-7F3F-47FD-9C97-E63D6FE2046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3414" y="880380"/>
              <a:ext cx="1447800" cy="4868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571499</xdr:colOff>
      <xdr:row>0</xdr:row>
      <xdr:rowOff>66676</xdr:rowOff>
    </xdr:from>
    <xdr:to>
      <xdr:col>20</xdr:col>
      <xdr:colOff>238124</xdr:colOff>
      <xdr:row>8</xdr:row>
      <xdr:rowOff>161926</xdr:rowOff>
    </xdr:to>
    <xdr:sp macro="" textlink="">
      <xdr:nvSpPr>
        <xdr:cNvPr id="13" name="Rectangle: Rounded Corners 12">
          <a:extLst>
            <a:ext uri="{FF2B5EF4-FFF2-40B4-BE49-F238E27FC236}">
              <a16:creationId xmlns:a16="http://schemas.microsoft.com/office/drawing/2014/main" id="{263D48AD-2169-885C-9AEC-0E2DB2AB9394}"/>
            </a:ext>
          </a:extLst>
        </xdr:cNvPr>
        <xdr:cNvSpPr/>
      </xdr:nvSpPr>
      <xdr:spPr>
        <a:xfrm>
          <a:off x="9105899" y="66676"/>
          <a:ext cx="3324225" cy="1619250"/>
        </a:xfrm>
        <a:prstGeom prst="roundRect">
          <a:avLst>
            <a:gd name="adj" fmla="val 77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19049</xdr:colOff>
      <xdr:row>1</xdr:row>
      <xdr:rowOff>38100</xdr:rowOff>
    </xdr:from>
    <xdr:to>
      <xdr:col>20</xdr:col>
      <xdr:colOff>104775</xdr:colOff>
      <xdr:row>8</xdr:row>
      <xdr:rowOff>114300</xdr:rowOff>
    </xdr:to>
    <mc:AlternateContent xmlns:mc="http://schemas.openxmlformats.org/markup-compatibility/2006" xmlns:a14="http://schemas.microsoft.com/office/drawing/2010/main">
      <mc:Choice Requires="a14">
        <xdr:graphicFrame macro="">
          <xdr:nvGraphicFramePr>
            <xdr:cNvPr id="10" name="Branch_City">
              <a:extLst>
                <a:ext uri="{FF2B5EF4-FFF2-40B4-BE49-F238E27FC236}">
                  <a16:creationId xmlns:a16="http://schemas.microsoft.com/office/drawing/2014/main" id="{1CD0B411-BAF2-475B-BC23-FF68D41A1B1D}"/>
                </a:ext>
              </a:extLst>
            </xdr:cNvPr>
            <xdr:cNvGraphicFramePr/>
          </xdr:nvGraphicFramePr>
          <xdr:xfrm>
            <a:off x="0" y="0"/>
            <a:ext cx="0" cy="0"/>
          </xdr:xfrm>
          <a:graphic>
            <a:graphicData uri="http://schemas.microsoft.com/office/drawing/2010/slicer">
              <sle:slicer xmlns:sle="http://schemas.microsoft.com/office/drawing/2010/slicer" name="Branch_City"/>
            </a:graphicData>
          </a:graphic>
        </xdr:graphicFrame>
      </mc:Choice>
      <mc:Fallback xmlns="">
        <xdr:sp macro="" textlink="">
          <xdr:nvSpPr>
            <xdr:cNvPr id="0" name=""/>
            <xdr:cNvSpPr>
              <a:spLocks noTextEdit="1"/>
            </xdr:cNvSpPr>
          </xdr:nvSpPr>
          <xdr:spPr>
            <a:xfrm>
              <a:off x="9163049" y="228600"/>
              <a:ext cx="2295525" cy="1590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76200</xdr:colOff>
      <xdr:row>0</xdr:row>
      <xdr:rowOff>95249</xdr:rowOff>
    </xdr:from>
    <xdr:to>
      <xdr:col>16</xdr:col>
      <xdr:colOff>104775</xdr:colOff>
      <xdr:row>1</xdr:row>
      <xdr:rowOff>104774</xdr:rowOff>
    </xdr:to>
    <xdr:sp macro="" textlink="">
      <xdr:nvSpPr>
        <xdr:cNvPr id="14" name="TextBox 13">
          <a:extLst>
            <a:ext uri="{FF2B5EF4-FFF2-40B4-BE49-F238E27FC236}">
              <a16:creationId xmlns:a16="http://schemas.microsoft.com/office/drawing/2014/main" id="{C0DBCCAA-BE58-BB31-9D16-0F101B2A895C}"/>
            </a:ext>
          </a:extLst>
        </xdr:cNvPr>
        <xdr:cNvSpPr txBox="1"/>
      </xdr:nvSpPr>
      <xdr:spPr>
        <a:xfrm>
          <a:off x="9220200" y="95249"/>
          <a:ext cx="6381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Branch </a:t>
          </a:r>
        </a:p>
      </xdr:txBody>
    </xdr:sp>
    <xdr:clientData/>
  </xdr:twoCellAnchor>
  <xdr:twoCellAnchor editAs="absolute">
    <xdr:from>
      <xdr:col>2</xdr:col>
      <xdr:colOff>428625</xdr:colOff>
      <xdr:row>3</xdr:row>
      <xdr:rowOff>190499</xdr:rowOff>
    </xdr:from>
    <xdr:to>
      <xdr:col>14</xdr:col>
      <xdr:colOff>495300</xdr:colOff>
      <xdr:row>7</xdr:row>
      <xdr:rowOff>85723</xdr:rowOff>
    </xdr:to>
    <xdr:grpSp>
      <xdr:nvGrpSpPr>
        <xdr:cNvPr id="18" name="Group 17">
          <a:extLst>
            <a:ext uri="{FF2B5EF4-FFF2-40B4-BE49-F238E27FC236}">
              <a16:creationId xmlns:a16="http://schemas.microsoft.com/office/drawing/2014/main" id="{E7DB60B9-9ED6-85ED-D1C8-19BE818C7283}"/>
            </a:ext>
          </a:extLst>
        </xdr:cNvPr>
        <xdr:cNvGrpSpPr/>
      </xdr:nvGrpSpPr>
      <xdr:grpSpPr>
        <a:xfrm>
          <a:off x="1656292" y="761999"/>
          <a:ext cx="7432675" cy="657224"/>
          <a:chOff x="1647825" y="762000"/>
          <a:chExt cx="6819901" cy="610280"/>
        </a:xfrm>
      </xdr:grpSpPr>
      <xdr:sp macro="" textlink="">
        <xdr:nvSpPr>
          <xdr:cNvPr id="15" name="Rectangle: Rounded Corners 14">
            <a:extLst>
              <a:ext uri="{FF2B5EF4-FFF2-40B4-BE49-F238E27FC236}">
                <a16:creationId xmlns:a16="http://schemas.microsoft.com/office/drawing/2014/main" id="{C018940A-24DD-BB5B-E3DF-96FE9FFD34B0}"/>
              </a:ext>
            </a:extLst>
          </xdr:cNvPr>
          <xdr:cNvSpPr/>
        </xdr:nvSpPr>
        <xdr:spPr>
          <a:xfrm>
            <a:off x="1647825" y="771525"/>
            <a:ext cx="2219326" cy="591910"/>
          </a:xfrm>
          <a:prstGeom prst="roundRect">
            <a:avLst>
              <a:gd name="adj" fmla="val 77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F2948D66-8175-F53F-6437-82E896141E92}"/>
              </a:ext>
            </a:extLst>
          </xdr:cNvPr>
          <xdr:cNvSpPr/>
        </xdr:nvSpPr>
        <xdr:spPr>
          <a:xfrm>
            <a:off x="3962400" y="771526"/>
            <a:ext cx="2219326" cy="600754"/>
          </a:xfrm>
          <a:prstGeom prst="roundRect">
            <a:avLst>
              <a:gd name="adj" fmla="val 77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2ADFD894-5F07-636F-9438-47508C906C03}"/>
              </a:ext>
            </a:extLst>
          </xdr:cNvPr>
          <xdr:cNvSpPr/>
        </xdr:nvSpPr>
        <xdr:spPr>
          <a:xfrm>
            <a:off x="6248400" y="762000"/>
            <a:ext cx="2219326" cy="601436"/>
          </a:xfrm>
          <a:prstGeom prst="roundRect">
            <a:avLst>
              <a:gd name="adj" fmla="val 77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2</xdr:col>
      <xdr:colOff>476250</xdr:colOff>
      <xdr:row>4</xdr:row>
      <xdr:rowOff>76200</xdr:rowOff>
    </xdr:from>
    <xdr:to>
      <xdr:col>4</xdr:col>
      <xdr:colOff>447675</xdr:colOff>
      <xdr:row>5</xdr:row>
      <xdr:rowOff>152400</xdr:rowOff>
    </xdr:to>
    <xdr:sp macro="" textlink="">
      <xdr:nvSpPr>
        <xdr:cNvPr id="19" name="TextBox 18">
          <a:extLst>
            <a:ext uri="{FF2B5EF4-FFF2-40B4-BE49-F238E27FC236}">
              <a16:creationId xmlns:a16="http://schemas.microsoft.com/office/drawing/2014/main" id="{CB7BE82F-5120-D8F8-04E9-72EA12101E41}"/>
            </a:ext>
          </a:extLst>
        </xdr:cNvPr>
        <xdr:cNvSpPr txBox="1"/>
      </xdr:nvSpPr>
      <xdr:spPr>
        <a:xfrm>
          <a:off x="1695450" y="838200"/>
          <a:ext cx="1190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Admission</a:t>
          </a:r>
        </a:p>
      </xdr:txBody>
    </xdr:sp>
    <xdr:clientData/>
  </xdr:twoCellAnchor>
  <xdr:twoCellAnchor editAs="absolute">
    <xdr:from>
      <xdr:col>7</xdr:col>
      <xdr:colOff>19050</xdr:colOff>
      <xdr:row>4</xdr:row>
      <xdr:rowOff>76200</xdr:rowOff>
    </xdr:from>
    <xdr:to>
      <xdr:col>8</xdr:col>
      <xdr:colOff>600075</xdr:colOff>
      <xdr:row>5</xdr:row>
      <xdr:rowOff>152400</xdr:rowOff>
    </xdr:to>
    <xdr:sp macro="" textlink="">
      <xdr:nvSpPr>
        <xdr:cNvPr id="20" name="TextBox 19">
          <a:extLst>
            <a:ext uri="{FF2B5EF4-FFF2-40B4-BE49-F238E27FC236}">
              <a16:creationId xmlns:a16="http://schemas.microsoft.com/office/drawing/2014/main" id="{76B41D10-5085-7604-B4A1-A4096BFBB9C2}"/>
            </a:ext>
          </a:extLst>
        </xdr:cNvPr>
        <xdr:cNvSpPr txBox="1"/>
      </xdr:nvSpPr>
      <xdr:spPr>
        <a:xfrm>
          <a:off x="4286250" y="838200"/>
          <a:ext cx="11906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a:t>
          </a:r>
          <a:r>
            <a:rPr lang="en-IN" sz="1200" b="1" baseline="0"/>
            <a:t> Student</a:t>
          </a:r>
          <a:endParaRPr lang="en-IN" sz="1200" b="1"/>
        </a:p>
      </xdr:txBody>
    </xdr:sp>
    <xdr:clientData/>
  </xdr:twoCellAnchor>
  <xdr:twoCellAnchor editAs="absolute">
    <xdr:from>
      <xdr:col>11</xdr:col>
      <xdr:colOff>9526</xdr:colOff>
      <xdr:row>4</xdr:row>
      <xdr:rowOff>57150</xdr:rowOff>
    </xdr:from>
    <xdr:to>
      <xdr:col>12</xdr:col>
      <xdr:colOff>409576</xdr:colOff>
      <xdr:row>5</xdr:row>
      <xdr:rowOff>133350</xdr:rowOff>
    </xdr:to>
    <xdr:sp macro="" textlink="">
      <xdr:nvSpPr>
        <xdr:cNvPr id="21" name="TextBox 20">
          <a:extLst>
            <a:ext uri="{FF2B5EF4-FFF2-40B4-BE49-F238E27FC236}">
              <a16:creationId xmlns:a16="http://schemas.microsoft.com/office/drawing/2014/main" id="{B7067B3C-89E9-1EEA-C142-54483B1E0CE6}"/>
            </a:ext>
          </a:extLst>
        </xdr:cNvPr>
        <xdr:cNvSpPr txBox="1"/>
      </xdr:nvSpPr>
      <xdr:spPr>
        <a:xfrm>
          <a:off x="6715126" y="819150"/>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Branch</a:t>
          </a:r>
        </a:p>
      </xdr:txBody>
    </xdr:sp>
    <xdr:clientData/>
  </xdr:twoCellAnchor>
  <xdr:twoCellAnchor editAs="absolute">
    <xdr:from>
      <xdr:col>2</xdr:col>
      <xdr:colOff>495300</xdr:colOff>
      <xdr:row>5</xdr:row>
      <xdr:rowOff>142875</xdr:rowOff>
    </xdr:from>
    <xdr:to>
      <xdr:col>3</xdr:col>
      <xdr:colOff>352425</xdr:colOff>
      <xdr:row>7</xdr:row>
      <xdr:rowOff>28575</xdr:rowOff>
    </xdr:to>
    <xdr:sp macro="" textlink="'Pivot Table'!A3">
      <xdr:nvSpPr>
        <xdr:cNvPr id="22" name="TextBox 21">
          <a:extLst>
            <a:ext uri="{FF2B5EF4-FFF2-40B4-BE49-F238E27FC236}">
              <a16:creationId xmlns:a16="http://schemas.microsoft.com/office/drawing/2014/main" id="{FE6EF4C4-7222-721F-7AF2-CFD8548874C2}"/>
            </a:ext>
          </a:extLst>
        </xdr:cNvPr>
        <xdr:cNvSpPr txBox="1"/>
      </xdr:nvSpPr>
      <xdr:spPr>
        <a:xfrm>
          <a:off x="1714500" y="1095375"/>
          <a:ext cx="466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BAD047-1BC1-4439-A42E-85A821BFFBBC}" type="TxLink">
            <a:rPr lang="en-US" sz="1200" b="1" i="0" u="none" strike="noStrike">
              <a:solidFill>
                <a:srgbClr val="000000"/>
              </a:solidFill>
              <a:latin typeface="Aptos Narrow"/>
            </a:rPr>
            <a:pPr/>
            <a:t>10</a:t>
          </a:fld>
          <a:endParaRPr lang="en-IN" sz="1200" b="1"/>
        </a:p>
      </xdr:txBody>
    </xdr:sp>
    <xdr:clientData/>
  </xdr:twoCellAnchor>
  <xdr:twoCellAnchor editAs="absolute">
    <xdr:from>
      <xdr:col>7</xdr:col>
      <xdr:colOff>38101</xdr:colOff>
      <xdr:row>5</xdr:row>
      <xdr:rowOff>142875</xdr:rowOff>
    </xdr:from>
    <xdr:to>
      <xdr:col>7</xdr:col>
      <xdr:colOff>457201</xdr:colOff>
      <xdr:row>7</xdr:row>
      <xdr:rowOff>28575</xdr:rowOff>
    </xdr:to>
    <xdr:sp macro="" textlink="'Pivot Table'!A7">
      <xdr:nvSpPr>
        <xdr:cNvPr id="23" name="TextBox 22">
          <a:extLst>
            <a:ext uri="{FF2B5EF4-FFF2-40B4-BE49-F238E27FC236}">
              <a16:creationId xmlns:a16="http://schemas.microsoft.com/office/drawing/2014/main" id="{B86216EB-30E9-0661-4357-9B4DF96B7A6A}"/>
            </a:ext>
          </a:extLst>
        </xdr:cNvPr>
        <xdr:cNvSpPr txBox="1"/>
      </xdr:nvSpPr>
      <xdr:spPr>
        <a:xfrm>
          <a:off x="4305301" y="1095375"/>
          <a:ext cx="4191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902AC5-1FFE-4924-8A8C-03E40141FA23}" type="TxLink">
            <a:rPr lang="en-US" sz="1200" b="1" i="0" u="none" strike="noStrike">
              <a:solidFill>
                <a:srgbClr val="000000"/>
              </a:solidFill>
              <a:latin typeface="Aptos Narrow"/>
            </a:rPr>
            <a:pPr/>
            <a:t>10</a:t>
          </a:fld>
          <a:endParaRPr lang="en-IN" sz="1200" b="1"/>
        </a:p>
      </xdr:txBody>
    </xdr:sp>
    <xdr:clientData/>
  </xdr:twoCellAnchor>
  <xdr:twoCellAnchor editAs="absolute">
    <xdr:from>
      <xdr:col>11</xdr:col>
      <xdr:colOff>28575</xdr:colOff>
      <xdr:row>5</xdr:row>
      <xdr:rowOff>95250</xdr:rowOff>
    </xdr:from>
    <xdr:to>
      <xdr:col>11</xdr:col>
      <xdr:colOff>400050</xdr:colOff>
      <xdr:row>6</xdr:row>
      <xdr:rowOff>171450</xdr:rowOff>
    </xdr:to>
    <xdr:sp macro="" textlink="'Pivot Table'!A10">
      <xdr:nvSpPr>
        <xdr:cNvPr id="24" name="TextBox 23">
          <a:extLst>
            <a:ext uri="{FF2B5EF4-FFF2-40B4-BE49-F238E27FC236}">
              <a16:creationId xmlns:a16="http://schemas.microsoft.com/office/drawing/2014/main" id="{29FC23FD-8011-DD11-F819-F961F2D20ADA}"/>
            </a:ext>
          </a:extLst>
        </xdr:cNvPr>
        <xdr:cNvSpPr txBox="1"/>
      </xdr:nvSpPr>
      <xdr:spPr>
        <a:xfrm>
          <a:off x="6734175" y="1047750"/>
          <a:ext cx="3714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B75B51-80CF-44AF-B914-94B4D14EC276}" type="TxLink">
            <a:rPr lang="en-US" sz="1200" b="1" i="0" u="none" strike="noStrike">
              <a:solidFill>
                <a:srgbClr val="000000"/>
              </a:solidFill>
              <a:latin typeface="Aptos Narrow"/>
            </a:rPr>
            <a:pPr/>
            <a:t>10</a:t>
          </a:fld>
          <a:endParaRPr lang="en-IN" sz="1200" b="1"/>
        </a:p>
      </xdr:txBody>
    </xdr:sp>
    <xdr:clientData/>
  </xdr:twoCellAnchor>
  <xdr:twoCellAnchor editAs="absolute">
    <xdr:from>
      <xdr:col>14</xdr:col>
      <xdr:colOff>66675</xdr:colOff>
      <xdr:row>4</xdr:row>
      <xdr:rowOff>28575</xdr:rowOff>
    </xdr:from>
    <xdr:to>
      <xdr:col>14</xdr:col>
      <xdr:colOff>485775</xdr:colOff>
      <xdr:row>6</xdr:row>
      <xdr:rowOff>66675</xdr:rowOff>
    </xdr:to>
    <xdr:pic>
      <xdr:nvPicPr>
        <xdr:cNvPr id="26" name="Graphic 25" descr="Building with solid fill">
          <a:extLst>
            <a:ext uri="{FF2B5EF4-FFF2-40B4-BE49-F238E27FC236}">
              <a16:creationId xmlns:a16="http://schemas.microsoft.com/office/drawing/2014/main" id="{0EFAB1CB-070C-1F80-A849-BFBC44A50D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601075" y="790575"/>
          <a:ext cx="419100" cy="419100"/>
        </a:xfrm>
        <a:prstGeom prst="rect">
          <a:avLst/>
        </a:prstGeom>
      </xdr:spPr>
    </xdr:pic>
    <xdr:clientData/>
  </xdr:twoCellAnchor>
  <xdr:twoCellAnchor editAs="absolute">
    <xdr:from>
      <xdr:col>9</xdr:col>
      <xdr:colOff>559575</xdr:colOff>
      <xdr:row>4</xdr:row>
      <xdr:rowOff>26175</xdr:rowOff>
    </xdr:from>
    <xdr:to>
      <xdr:col>10</xdr:col>
      <xdr:colOff>447675</xdr:colOff>
      <xdr:row>6</xdr:row>
      <xdr:rowOff>142875</xdr:rowOff>
    </xdr:to>
    <xdr:pic>
      <xdr:nvPicPr>
        <xdr:cNvPr id="28" name="Graphic 27" descr="Female Profile with solid fill">
          <a:extLst>
            <a:ext uri="{FF2B5EF4-FFF2-40B4-BE49-F238E27FC236}">
              <a16:creationId xmlns:a16="http://schemas.microsoft.com/office/drawing/2014/main" id="{BEE92CD4-C96C-04E9-9C5B-568054E1B0B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045975" y="788175"/>
          <a:ext cx="497700" cy="497700"/>
        </a:xfrm>
        <a:prstGeom prst="rect">
          <a:avLst/>
        </a:prstGeom>
      </xdr:spPr>
    </xdr:pic>
    <xdr:clientData/>
  </xdr:twoCellAnchor>
  <xdr:twoCellAnchor editAs="absolute">
    <xdr:from>
      <xdr:col>5</xdr:col>
      <xdr:colOff>519075</xdr:colOff>
      <xdr:row>4</xdr:row>
      <xdr:rowOff>23775</xdr:rowOff>
    </xdr:from>
    <xdr:to>
      <xdr:col>6</xdr:col>
      <xdr:colOff>342900</xdr:colOff>
      <xdr:row>6</xdr:row>
      <xdr:rowOff>76200</xdr:rowOff>
    </xdr:to>
    <xdr:pic>
      <xdr:nvPicPr>
        <xdr:cNvPr id="30" name="Graphic 29" descr="Graduation cap with solid fill">
          <a:extLst>
            <a:ext uri="{FF2B5EF4-FFF2-40B4-BE49-F238E27FC236}">
              <a16:creationId xmlns:a16="http://schemas.microsoft.com/office/drawing/2014/main" id="{7D217B7F-3B11-9E26-0955-26D1A8967C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67075" y="785775"/>
          <a:ext cx="433425" cy="433425"/>
        </a:xfrm>
        <a:prstGeom prst="rect">
          <a:avLst/>
        </a:prstGeom>
      </xdr:spPr>
    </xdr:pic>
    <xdr:clientData/>
  </xdr:twoCellAnchor>
  <xdr:twoCellAnchor editAs="absolute">
    <xdr:from>
      <xdr:col>2</xdr:col>
      <xdr:colOff>428624</xdr:colOff>
      <xdr:row>7</xdr:row>
      <xdr:rowOff>123825</xdr:rowOff>
    </xdr:from>
    <xdr:to>
      <xdr:col>9</xdr:col>
      <xdr:colOff>342899</xdr:colOff>
      <xdr:row>18</xdr:row>
      <xdr:rowOff>123825</xdr:rowOff>
    </xdr:to>
    <xdr:sp macro="" textlink="">
      <xdr:nvSpPr>
        <xdr:cNvPr id="4" name="Rectangle: Rounded Corners 3">
          <a:extLst>
            <a:ext uri="{FF2B5EF4-FFF2-40B4-BE49-F238E27FC236}">
              <a16:creationId xmlns:a16="http://schemas.microsoft.com/office/drawing/2014/main" id="{E938C5C3-646C-ADFC-211C-FBBD22ADDD5A}"/>
            </a:ext>
          </a:extLst>
        </xdr:cNvPr>
        <xdr:cNvSpPr/>
      </xdr:nvSpPr>
      <xdr:spPr>
        <a:xfrm>
          <a:off x="1647824" y="1457325"/>
          <a:ext cx="4181475" cy="2095500"/>
        </a:xfrm>
        <a:prstGeom prst="roundRect">
          <a:avLst>
            <a:gd name="adj" fmla="val 40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409574</xdr:colOff>
      <xdr:row>7</xdr:row>
      <xdr:rowOff>123825</xdr:rowOff>
    </xdr:from>
    <xdr:to>
      <xdr:col>14</xdr:col>
      <xdr:colOff>457199</xdr:colOff>
      <xdr:row>18</xdr:row>
      <xdr:rowOff>123825</xdr:rowOff>
    </xdr:to>
    <xdr:sp macro="" textlink="">
      <xdr:nvSpPr>
        <xdr:cNvPr id="25" name="Rectangle: Rounded Corners 24">
          <a:extLst>
            <a:ext uri="{FF2B5EF4-FFF2-40B4-BE49-F238E27FC236}">
              <a16:creationId xmlns:a16="http://schemas.microsoft.com/office/drawing/2014/main" id="{242B26B7-6DFF-8B54-1C6D-9B4640664178}"/>
            </a:ext>
          </a:extLst>
        </xdr:cNvPr>
        <xdr:cNvSpPr/>
      </xdr:nvSpPr>
      <xdr:spPr>
        <a:xfrm>
          <a:off x="5895974" y="1457325"/>
          <a:ext cx="3095625" cy="2095500"/>
        </a:xfrm>
        <a:prstGeom prst="roundRect">
          <a:avLst>
            <a:gd name="adj" fmla="val 40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466724</xdr:colOff>
      <xdr:row>9</xdr:row>
      <xdr:rowOff>57150</xdr:rowOff>
    </xdr:from>
    <xdr:to>
      <xdr:col>14</xdr:col>
      <xdr:colOff>457199</xdr:colOff>
      <xdr:row>18</xdr:row>
      <xdr:rowOff>66675</xdr:rowOff>
    </xdr:to>
    <xdr:graphicFrame macro="">
      <xdr:nvGraphicFramePr>
        <xdr:cNvPr id="27" name="Chart 26">
          <a:extLst>
            <a:ext uri="{FF2B5EF4-FFF2-40B4-BE49-F238E27FC236}">
              <a16:creationId xmlns:a16="http://schemas.microsoft.com/office/drawing/2014/main" id="{E80C3865-151B-4D53-8CB1-F2E5FA2C5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10</xdr:col>
      <xdr:colOff>561975</xdr:colOff>
      <xdr:row>8</xdr:row>
      <xdr:rowOff>57150</xdr:rowOff>
    </xdr:from>
    <xdr:to>
      <xdr:col>13</xdr:col>
      <xdr:colOff>504825</xdr:colOff>
      <xdr:row>9</xdr:row>
      <xdr:rowOff>133350</xdr:rowOff>
    </xdr:to>
    <xdr:sp macro="" textlink="'Pivot Table'!H20">
      <xdr:nvSpPr>
        <xdr:cNvPr id="29" name="TextBox 28">
          <a:extLst>
            <a:ext uri="{FF2B5EF4-FFF2-40B4-BE49-F238E27FC236}">
              <a16:creationId xmlns:a16="http://schemas.microsoft.com/office/drawing/2014/main" id="{3B5957C0-D914-AF41-F65E-018DFD4F6FD1}"/>
            </a:ext>
          </a:extLst>
        </xdr:cNvPr>
        <xdr:cNvSpPr txBox="1"/>
      </xdr:nvSpPr>
      <xdr:spPr>
        <a:xfrm>
          <a:off x="6657975" y="1581150"/>
          <a:ext cx="1771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Age By Total Admission</a:t>
          </a:r>
          <a:r>
            <a:rPr lang="en-IN" sz="1200" b="1" baseline="0"/>
            <a:t> </a:t>
          </a:r>
          <a:endParaRPr lang="en-IN" sz="1200" b="1"/>
        </a:p>
      </xdr:txBody>
    </xdr:sp>
    <xdr:clientData/>
  </xdr:twoCellAnchor>
  <xdr:twoCellAnchor editAs="absolute">
    <xdr:from>
      <xdr:col>6</xdr:col>
      <xdr:colOff>476249</xdr:colOff>
      <xdr:row>18</xdr:row>
      <xdr:rowOff>180975</xdr:rowOff>
    </xdr:from>
    <xdr:to>
      <xdr:col>12</xdr:col>
      <xdr:colOff>571500</xdr:colOff>
      <xdr:row>29</xdr:row>
      <xdr:rowOff>180975</xdr:rowOff>
    </xdr:to>
    <xdr:sp macro="" textlink="">
      <xdr:nvSpPr>
        <xdr:cNvPr id="31" name="Rectangle: Rounded Corners 30">
          <a:extLst>
            <a:ext uri="{FF2B5EF4-FFF2-40B4-BE49-F238E27FC236}">
              <a16:creationId xmlns:a16="http://schemas.microsoft.com/office/drawing/2014/main" id="{2B796934-E602-978B-BFE0-EEB9353F9F3E}"/>
            </a:ext>
          </a:extLst>
        </xdr:cNvPr>
        <xdr:cNvSpPr/>
      </xdr:nvSpPr>
      <xdr:spPr>
        <a:xfrm>
          <a:off x="4133849" y="3609975"/>
          <a:ext cx="3752851" cy="2095500"/>
        </a:xfrm>
        <a:prstGeom prst="roundRect">
          <a:avLst>
            <a:gd name="adj" fmla="val 40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552450</xdr:colOff>
      <xdr:row>20</xdr:row>
      <xdr:rowOff>95250</xdr:rowOff>
    </xdr:from>
    <xdr:to>
      <xdr:col>12</xdr:col>
      <xdr:colOff>476250</xdr:colOff>
      <xdr:row>29</xdr:row>
      <xdr:rowOff>85725</xdr:rowOff>
    </xdr:to>
    <xdr:graphicFrame macro="">
      <xdr:nvGraphicFramePr>
        <xdr:cNvPr id="32" name="Chart 31">
          <a:extLst>
            <a:ext uri="{FF2B5EF4-FFF2-40B4-BE49-F238E27FC236}">
              <a16:creationId xmlns:a16="http://schemas.microsoft.com/office/drawing/2014/main" id="{6E1B2894-ED59-484D-AEE3-D245166F2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8</xdr:col>
      <xdr:colOff>323851</xdr:colOff>
      <xdr:row>19</xdr:row>
      <xdr:rowOff>66675</xdr:rowOff>
    </xdr:from>
    <xdr:to>
      <xdr:col>11</xdr:col>
      <xdr:colOff>95251</xdr:colOff>
      <xdr:row>20</xdr:row>
      <xdr:rowOff>142875</xdr:rowOff>
    </xdr:to>
    <xdr:sp macro="" textlink="'Pivot Table'!H20">
      <xdr:nvSpPr>
        <xdr:cNvPr id="33" name="TextBox 32">
          <a:extLst>
            <a:ext uri="{FF2B5EF4-FFF2-40B4-BE49-F238E27FC236}">
              <a16:creationId xmlns:a16="http://schemas.microsoft.com/office/drawing/2014/main" id="{A0B03B1D-BD15-13E7-3B1A-1B1293CD93D1}"/>
            </a:ext>
          </a:extLst>
        </xdr:cNvPr>
        <xdr:cNvSpPr txBox="1"/>
      </xdr:nvSpPr>
      <xdr:spPr>
        <a:xfrm>
          <a:off x="5200651" y="3686175"/>
          <a:ext cx="1600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Course</a:t>
          </a:r>
          <a:r>
            <a:rPr lang="en-IN" sz="1200" b="1" baseline="0"/>
            <a:t> By Admission</a:t>
          </a:r>
          <a:endParaRPr lang="en-IN" sz="1200" b="1"/>
        </a:p>
      </xdr:txBody>
    </xdr:sp>
    <xdr:clientData/>
  </xdr:twoCellAnchor>
  <xdr:twoCellAnchor editAs="absolute">
    <xdr:from>
      <xdr:col>13</xdr:col>
      <xdr:colOff>19050</xdr:colOff>
      <xdr:row>18</xdr:row>
      <xdr:rowOff>152400</xdr:rowOff>
    </xdr:from>
    <xdr:to>
      <xdr:col>20</xdr:col>
      <xdr:colOff>342900</xdr:colOff>
      <xdr:row>29</xdr:row>
      <xdr:rowOff>152400</xdr:rowOff>
    </xdr:to>
    <xdr:sp macro="" textlink="">
      <xdr:nvSpPr>
        <xdr:cNvPr id="34" name="Rectangle: Rounded Corners 33">
          <a:extLst>
            <a:ext uri="{FF2B5EF4-FFF2-40B4-BE49-F238E27FC236}">
              <a16:creationId xmlns:a16="http://schemas.microsoft.com/office/drawing/2014/main" id="{D6272B97-BE8D-9362-1725-7958B94120EA}"/>
            </a:ext>
          </a:extLst>
        </xdr:cNvPr>
        <xdr:cNvSpPr/>
      </xdr:nvSpPr>
      <xdr:spPr>
        <a:xfrm>
          <a:off x="7943850" y="3581400"/>
          <a:ext cx="4591050" cy="2095500"/>
        </a:xfrm>
        <a:prstGeom prst="roundRect">
          <a:avLst>
            <a:gd name="adj" fmla="val 40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66675</xdr:colOff>
      <xdr:row>20</xdr:row>
      <xdr:rowOff>57150</xdr:rowOff>
    </xdr:from>
    <xdr:to>
      <xdr:col>20</xdr:col>
      <xdr:colOff>295275</xdr:colOff>
      <xdr:row>29</xdr:row>
      <xdr:rowOff>104775</xdr:rowOff>
    </xdr:to>
    <xdr:graphicFrame macro="">
      <xdr:nvGraphicFramePr>
        <xdr:cNvPr id="35" name="Chart 34">
          <a:extLst>
            <a:ext uri="{FF2B5EF4-FFF2-40B4-BE49-F238E27FC236}">
              <a16:creationId xmlns:a16="http://schemas.microsoft.com/office/drawing/2014/main" id="{A10C3026-8F77-412C-A9FD-2753CEC8B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15</xdr:col>
      <xdr:colOff>428626</xdr:colOff>
      <xdr:row>19</xdr:row>
      <xdr:rowOff>66675</xdr:rowOff>
    </xdr:from>
    <xdr:to>
      <xdr:col>18</xdr:col>
      <xdr:colOff>200026</xdr:colOff>
      <xdr:row>20</xdr:row>
      <xdr:rowOff>142875</xdr:rowOff>
    </xdr:to>
    <xdr:sp macro="" textlink="'Pivot Table'!H20">
      <xdr:nvSpPr>
        <xdr:cNvPr id="36" name="TextBox 35">
          <a:extLst>
            <a:ext uri="{FF2B5EF4-FFF2-40B4-BE49-F238E27FC236}">
              <a16:creationId xmlns:a16="http://schemas.microsoft.com/office/drawing/2014/main" id="{16F3AE90-83FA-A5DA-D806-4E9A2C0D358B}"/>
            </a:ext>
          </a:extLst>
        </xdr:cNvPr>
        <xdr:cNvSpPr txBox="1"/>
      </xdr:nvSpPr>
      <xdr:spPr>
        <a:xfrm>
          <a:off x="9572626" y="3686175"/>
          <a:ext cx="1600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t>Addmission Souce </a:t>
          </a:r>
          <a:endParaRPr lang="en-IN" sz="1200" b="1"/>
        </a:p>
      </xdr:txBody>
    </xdr:sp>
    <xdr:clientData/>
  </xdr:twoCellAnchor>
  <xdr:twoCellAnchor editAs="absolute">
    <xdr:from>
      <xdr:col>14</xdr:col>
      <xdr:colOff>533400</xdr:colOff>
      <xdr:row>9</xdr:row>
      <xdr:rowOff>19050</xdr:rowOff>
    </xdr:from>
    <xdr:to>
      <xdr:col>20</xdr:col>
      <xdr:colOff>333376</xdr:colOff>
      <xdr:row>18</xdr:row>
      <xdr:rowOff>104775</xdr:rowOff>
    </xdr:to>
    <xdr:sp macro="" textlink="">
      <xdr:nvSpPr>
        <xdr:cNvPr id="37" name="Rectangle: Rounded Corners 36">
          <a:extLst>
            <a:ext uri="{FF2B5EF4-FFF2-40B4-BE49-F238E27FC236}">
              <a16:creationId xmlns:a16="http://schemas.microsoft.com/office/drawing/2014/main" id="{68188986-B224-5E4E-D53A-1F1FC6629007}"/>
            </a:ext>
          </a:extLst>
        </xdr:cNvPr>
        <xdr:cNvSpPr/>
      </xdr:nvSpPr>
      <xdr:spPr>
        <a:xfrm>
          <a:off x="9067800" y="1733550"/>
          <a:ext cx="3457576" cy="1800225"/>
        </a:xfrm>
        <a:prstGeom prst="roundRect">
          <a:avLst>
            <a:gd name="adj" fmla="val 40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428625</xdr:colOff>
      <xdr:row>18</xdr:row>
      <xdr:rowOff>180975</xdr:rowOff>
    </xdr:from>
    <xdr:to>
      <xdr:col>6</xdr:col>
      <xdr:colOff>419101</xdr:colOff>
      <xdr:row>29</xdr:row>
      <xdr:rowOff>180975</xdr:rowOff>
    </xdr:to>
    <xdr:sp macro="" textlink="">
      <xdr:nvSpPr>
        <xdr:cNvPr id="38" name="Rectangle: Rounded Corners 37">
          <a:extLst>
            <a:ext uri="{FF2B5EF4-FFF2-40B4-BE49-F238E27FC236}">
              <a16:creationId xmlns:a16="http://schemas.microsoft.com/office/drawing/2014/main" id="{E0BBD1A2-43A4-1BC5-132E-58781E693B6D}"/>
            </a:ext>
          </a:extLst>
        </xdr:cNvPr>
        <xdr:cNvSpPr/>
      </xdr:nvSpPr>
      <xdr:spPr>
        <a:xfrm>
          <a:off x="1647825" y="3609975"/>
          <a:ext cx="2428876" cy="2095500"/>
        </a:xfrm>
        <a:prstGeom prst="roundRect">
          <a:avLst>
            <a:gd name="adj" fmla="val 40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533400</xdr:colOff>
      <xdr:row>9</xdr:row>
      <xdr:rowOff>9524</xdr:rowOff>
    </xdr:from>
    <xdr:to>
      <xdr:col>9</xdr:col>
      <xdr:colOff>142875</xdr:colOff>
      <xdr:row>18</xdr:row>
      <xdr:rowOff>28575</xdr:rowOff>
    </xdr:to>
    <xdr:graphicFrame macro="">
      <xdr:nvGraphicFramePr>
        <xdr:cNvPr id="39" name="Chart 38">
          <a:extLst>
            <a:ext uri="{FF2B5EF4-FFF2-40B4-BE49-F238E27FC236}">
              <a16:creationId xmlns:a16="http://schemas.microsoft.com/office/drawing/2014/main" id="{1553567D-90CA-4407-AC5A-334DE80A3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2</xdr:col>
      <xdr:colOff>495300</xdr:colOff>
      <xdr:row>21</xdr:row>
      <xdr:rowOff>47624</xdr:rowOff>
    </xdr:from>
    <xdr:to>
      <xdr:col>6</xdr:col>
      <xdr:colOff>247650</xdr:colOff>
      <xdr:row>29</xdr:row>
      <xdr:rowOff>57149</xdr:rowOff>
    </xdr:to>
    <xdr:graphicFrame macro="">
      <xdr:nvGraphicFramePr>
        <xdr:cNvPr id="11" name="Chart 10">
          <a:extLst>
            <a:ext uri="{FF2B5EF4-FFF2-40B4-BE49-F238E27FC236}">
              <a16:creationId xmlns:a16="http://schemas.microsoft.com/office/drawing/2014/main" id="{FA40A57F-7DEA-4057-B656-B0EBBC2EE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3</xdr:col>
      <xdr:colOff>447675</xdr:colOff>
      <xdr:row>19</xdr:row>
      <xdr:rowOff>142875</xdr:rowOff>
    </xdr:from>
    <xdr:to>
      <xdr:col>5</xdr:col>
      <xdr:colOff>457200</xdr:colOff>
      <xdr:row>21</xdr:row>
      <xdr:rowOff>28575</xdr:rowOff>
    </xdr:to>
    <xdr:sp macro="" textlink="'Pivot Table'!H20">
      <xdr:nvSpPr>
        <xdr:cNvPr id="12" name="TextBox 11">
          <a:extLst>
            <a:ext uri="{FF2B5EF4-FFF2-40B4-BE49-F238E27FC236}">
              <a16:creationId xmlns:a16="http://schemas.microsoft.com/office/drawing/2014/main" id="{6CDDE849-71E5-EA46-7DDC-0B856DBCF6AA}"/>
            </a:ext>
          </a:extLst>
        </xdr:cNvPr>
        <xdr:cNvSpPr txBox="1"/>
      </xdr:nvSpPr>
      <xdr:spPr>
        <a:xfrm>
          <a:off x="2276475" y="3762375"/>
          <a:ext cx="12287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Admission</a:t>
          </a:r>
          <a:r>
            <a:rPr lang="en-IN" sz="1200" b="1" baseline="0"/>
            <a:t> Mode</a:t>
          </a:r>
          <a:endParaRPr lang="en-IN" sz="1200" b="1"/>
        </a:p>
      </xdr:txBody>
    </xdr:sp>
    <xdr:clientData/>
  </xdr:twoCellAnchor>
  <xdr:twoCellAnchor editAs="absolute">
    <xdr:from>
      <xdr:col>4</xdr:col>
      <xdr:colOff>419099</xdr:colOff>
      <xdr:row>7</xdr:row>
      <xdr:rowOff>114300</xdr:rowOff>
    </xdr:from>
    <xdr:to>
      <xdr:col>8</xdr:col>
      <xdr:colOff>449036</xdr:colOff>
      <xdr:row>9</xdr:row>
      <xdr:rowOff>0</xdr:rowOff>
    </xdr:to>
    <xdr:sp macro="" textlink="'Pivot Table'!H20">
      <xdr:nvSpPr>
        <xdr:cNvPr id="40" name="TextBox 39">
          <a:extLst>
            <a:ext uri="{FF2B5EF4-FFF2-40B4-BE49-F238E27FC236}">
              <a16:creationId xmlns:a16="http://schemas.microsoft.com/office/drawing/2014/main" id="{28E27D15-BE78-ADFB-6321-9C7CE34CF62E}"/>
            </a:ext>
          </a:extLst>
        </xdr:cNvPr>
        <xdr:cNvSpPr txBox="1"/>
      </xdr:nvSpPr>
      <xdr:spPr>
        <a:xfrm>
          <a:off x="2868385" y="1447800"/>
          <a:ext cx="2479222"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Branch</a:t>
          </a:r>
          <a:r>
            <a:rPr lang="en-IN" sz="1200" b="1" baseline="0"/>
            <a:t>  Area </a:t>
          </a:r>
          <a:r>
            <a:rPr lang="en-IN" sz="1200" b="1"/>
            <a:t> By Total Admission</a:t>
          </a:r>
          <a:r>
            <a:rPr lang="en-IN" sz="1200" b="1" baseline="0"/>
            <a:t> </a:t>
          </a:r>
          <a:endParaRPr lang="en-IN" sz="1200" b="1"/>
        </a:p>
      </xdr:txBody>
    </xdr:sp>
    <xdr:clientData/>
  </xdr:twoCellAnchor>
  <xdr:twoCellAnchor editAs="absolute">
    <xdr:from>
      <xdr:col>15</xdr:col>
      <xdr:colOff>40822</xdr:colOff>
      <xdr:row>9</xdr:row>
      <xdr:rowOff>136071</xdr:rowOff>
    </xdr:from>
    <xdr:to>
      <xdr:col>20</xdr:col>
      <xdr:colOff>204107</xdr:colOff>
      <xdr:row>18</xdr:row>
      <xdr:rowOff>54428</xdr:rowOff>
    </xdr:to>
    <xdr:pic>
      <xdr:nvPicPr>
        <xdr:cNvPr id="41" name="Picture 40">
          <a:extLst>
            <a:ext uri="{FF2B5EF4-FFF2-40B4-BE49-F238E27FC236}">
              <a16:creationId xmlns:a16="http://schemas.microsoft.com/office/drawing/2014/main" id="{ADD549EA-69FD-F01B-3F19-ED576869BC16}"/>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9225643" y="1850571"/>
          <a:ext cx="3224893" cy="1632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85725</xdr:colOff>
      <xdr:row>0</xdr:row>
      <xdr:rowOff>76200</xdr:rowOff>
    </xdr:from>
    <xdr:to>
      <xdr:col>1</xdr:col>
      <xdr:colOff>57150</xdr:colOff>
      <xdr:row>3</xdr:row>
      <xdr:rowOff>85725</xdr:rowOff>
    </xdr:to>
    <xdr:pic>
      <xdr:nvPicPr>
        <xdr:cNvPr id="43" name="Picture 42">
          <a:extLst>
            <a:ext uri="{FF2B5EF4-FFF2-40B4-BE49-F238E27FC236}">
              <a16:creationId xmlns:a16="http://schemas.microsoft.com/office/drawing/2014/main" id="{5522BC7B-A919-B161-39F1-77D1B5C2095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5725" y="76200"/>
          <a:ext cx="581025" cy="5810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i" refreshedDate="46309.675419907406" createdVersion="8" refreshedVersion="8" minRefreshableVersion="3" recordCount="655" xr:uid="{E42A60F6-9429-40DF-837C-CD21319E88E6}">
  <cacheSource type="worksheet">
    <worksheetSource name="Addmisson"/>
  </cacheSource>
  <cacheFields count="18">
    <cacheField name="Admission_ID" numFmtId="0">
      <sharedItems/>
    </cacheField>
    <cacheField name="Admission_Date" numFmtId="14">
      <sharedItems containsSemiMixedTypes="0" containsNonDate="0" containsDate="1" containsString="0" minDate="2025-01-15T00:00:00" maxDate="2026-11-01T00:00:00" count="655">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sharedItems>
      <fieldGroup par="17"/>
    </cacheField>
    <cacheField name="Student_ID" numFmtId="0">
      <sharedItems/>
    </cacheField>
    <cacheField name="Student_Name" numFmtId="0">
      <sharedItems/>
    </cacheField>
    <cacheField name="Student_DOB" numFmtId="14">
      <sharedItems containsSemiMixedTypes="0" containsNonDate="0" containsDate="1" containsString="0" minDate="2002-01-01T00:00:00" maxDate="2009-12-10T00:00:00"/>
    </cacheField>
    <cacheField name="Student_City" numFmtId="0">
      <sharedItems count="15">
        <s v="Ahmedabad"/>
        <s v="Rajkot"/>
        <s v="Navsari"/>
        <s v="Surat"/>
        <s v="Amreli"/>
        <s v="Gandhinagar"/>
        <s v="Bharuch"/>
        <s v="Bhavnagar"/>
        <s v="Junagadh"/>
        <s v="Anand"/>
        <s v="Jamnagar" u="1"/>
        <s v="Porbandar" u="1"/>
        <s v="Morbi" u="1"/>
        <s v="Surendranagar" u="1"/>
        <s v="Gondal" u="1"/>
      </sharedItems>
    </cacheField>
    <cacheField name="Branch_City" numFmtId="0">
      <sharedItems count="10">
        <s v="Ahmedabad"/>
        <s v="Rajkot"/>
        <s v="Navsari"/>
        <s v="Surat"/>
        <s v="Amreli"/>
        <s v="Gandhinagar"/>
        <s v="Bharuch"/>
        <s v="Bhavnagar"/>
        <s v="Junagadh"/>
        <s v="Anand"/>
      </sharedItems>
    </cacheField>
    <cacheField name="Branch_Area" numFmtId="0">
      <sharedItems count="21">
        <s v="Chandkheda"/>
        <s v="Kalawad Road"/>
        <s v="Navsari"/>
        <s v="Mota Varachha"/>
        <s v="Vastral"/>
        <s v="Gandhi Bag"/>
        <s v="Yogi Chowk"/>
        <s v="Gandhinagar"/>
        <s v="Nikol"/>
        <s v="A.K. Road"/>
        <s v="Bharuch"/>
        <s v="Mavdi Main Road"/>
        <s v="Vesu"/>
        <s v="Bhavnagar"/>
        <s v="Ved Road"/>
        <s v="Junagadh"/>
        <s v="Vidyanagar"/>
        <s v="Navrangpura"/>
        <s v="Dindoli"/>
        <s v="Adajan"/>
        <s v="Maninagar"/>
      </sharedItems>
    </cacheField>
    <cacheField name="Course_Name" numFmtId="0">
      <sharedItems count="16">
        <s v="Cyber Security"/>
        <s v="Data Structure &amp; Algorithm"/>
        <s v="UI/UX &amp; Graphic Design"/>
        <s v="Graphic Design &amp; Video Editing"/>
        <s v="Adobe Photoshop"/>
        <s v="CorelDRAW"/>
        <s v="DTP (Desktop Publishing)"/>
        <s v="UI/UX Design"/>
        <s v="AI/ML &amp; Data Science"/>
        <s v="Game Design &amp; Development"/>
        <s v="Machine Learning"/>
        <s v="Python Programming"/>
        <s v="Data Science"/>
        <s v="Web Technology"/>
        <s v="Data Analytics"/>
        <s v="SQL &amp; Database"/>
      </sharedItems>
    </cacheField>
    <cacheField name="Course_Category" numFmtId="0">
      <sharedItems/>
    </cacheField>
    <cacheField name="Admission_Source" numFmtId="0">
      <sharedItems count="8">
        <s v="Branch Visit"/>
        <s v="Friend Referral"/>
        <s v="Family Referral"/>
        <s v="Website"/>
        <s v="WhatsApp"/>
        <s v="LinkedIn"/>
        <s v="College Seminar"/>
        <s v="Ads"/>
      </sharedItems>
    </cacheField>
    <cacheField name="Admission_Mode" numFmtId="0">
      <sharedItems count="2">
        <s v="Online"/>
        <s v="Offline"/>
      </sharedItems>
    </cacheField>
    <cacheField name="Batch_Timing" numFmtId="164">
      <sharedItems/>
    </cacheField>
    <cacheField name="Admission_Status" numFmtId="0">
      <sharedItems/>
    </cacheField>
    <cacheField name="Age " numFmtId="0">
      <sharedItems containsSemiMixedTypes="0" containsString="0" containsNumber="1" containsInteger="1" minValue="16" maxValue="24" count="9">
        <n v="22"/>
        <n v="16"/>
        <n v="21"/>
        <n v="19"/>
        <n v="18"/>
        <n v="20"/>
        <n v="17"/>
        <n v="24"/>
        <n v="23"/>
      </sharedItems>
    </cacheField>
    <cacheField name="Month" numFmtId="0">
      <sharedItems count="12">
        <s v="September"/>
        <s v="October"/>
        <s v="November"/>
        <s v="May"/>
        <s v="March"/>
        <s v="June"/>
        <s v="July"/>
        <s v="January"/>
        <s v="February"/>
        <s v="December"/>
        <s v="August"/>
        <s v="April"/>
      </sharedItems>
    </cacheField>
    <cacheField name="Year" numFmtId="0">
      <sharedItems containsSemiMixedTypes="0" containsString="0" containsNumber="1" containsInteger="1" minValue="2025" maxValue="2026" count="2">
        <n v="2025"/>
        <n v="2026"/>
      </sharedItems>
    </cacheField>
    <cacheField name="Days (Admission_Date)" numFmtId="0" databaseField="0">
      <fieldGroup base="1">
        <rangePr autoStart="0" groupBy="days" startDate="2025-01-15T00:00:00" endDate="2026-11-01T00:00:00"/>
        <groupItems count="368">
          <s v="&lt;1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11-2026"/>
        </groupItems>
      </fieldGroup>
    </cacheField>
  </cacheFields>
  <extLst>
    <ext xmlns:x14="http://schemas.microsoft.com/office/spreadsheetml/2009/9/main" uri="{725AE2AE-9491-48be-B2B4-4EB974FC3084}">
      <x14:pivotCacheDefinition pivotCacheId="251290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s v="ADM0230"/>
    <x v="0"/>
    <s v="STU0230"/>
    <s v="Kinjal Ramani"/>
    <d v="2004-04-30T00:00:00"/>
    <x v="0"/>
    <x v="0"/>
    <x v="0"/>
    <x v="0"/>
    <s v="Cyber Security"/>
    <x v="0"/>
    <x v="0"/>
    <s v="11:00-12:00  AM"/>
    <s v="Ongoin"/>
    <x v="0"/>
    <x v="0"/>
    <x v="0"/>
  </r>
  <r>
    <s v="ADM0231"/>
    <x v="1"/>
    <s v="STU0231"/>
    <s v="Akhilesh Vaghani"/>
    <d v="2009-12-09T00:00:00"/>
    <x v="1"/>
    <x v="1"/>
    <x v="1"/>
    <x v="1"/>
    <s v="Programming"/>
    <x v="1"/>
    <x v="0"/>
    <s v="10:00-11:00 AM"/>
    <s v="Ongoin"/>
    <x v="1"/>
    <x v="0"/>
    <x v="0"/>
  </r>
  <r>
    <s v="ADM0232"/>
    <x v="2"/>
    <s v="STU0232"/>
    <s v="Mitali Donga"/>
    <d v="2004-06-21T00:00:00"/>
    <x v="2"/>
    <x v="2"/>
    <x v="2"/>
    <x v="2"/>
    <s v="Design"/>
    <x v="2"/>
    <x v="0"/>
    <s v="09:00 - 10:00 AM"/>
    <s v="Ongoin"/>
    <x v="0"/>
    <x v="0"/>
    <x v="0"/>
  </r>
  <r>
    <s v="ADM0233"/>
    <x v="3"/>
    <s v="STU0233"/>
    <s v="Chirag Kachadiya"/>
    <d v="2005-09-04T00:00:00"/>
    <x v="3"/>
    <x v="3"/>
    <x v="3"/>
    <x v="3"/>
    <s v="Design &amp; Video Editing"/>
    <x v="3"/>
    <x v="1"/>
    <s v="03:00-04:00 PM"/>
    <s v="Ongoin"/>
    <x v="2"/>
    <x v="0"/>
    <x v="0"/>
  </r>
  <r>
    <s v="ADM0234"/>
    <x v="4"/>
    <s v="STU0234"/>
    <s v="Sonal Dhaduk"/>
    <d v="2004-01-13T00:00:00"/>
    <x v="0"/>
    <x v="0"/>
    <x v="4"/>
    <x v="4"/>
    <s v="Graphic Design"/>
    <x v="4"/>
    <x v="0"/>
    <s v="06:00 - 07:00 PM"/>
    <s v="Ongoin"/>
    <x v="0"/>
    <x v="0"/>
    <x v="0"/>
  </r>
  <r>
    <s v="ADM0235"/>
    <x v="5"/>
    <s v="STU0235"/>
    <s v="Kartik Ghelani"/>
    <d v="2005-07-25T00:00:00"/>
    <x v="4"/>
    <x v="4"/>
    <x v="5"/>
    <x v="5"/>
    <s v="Graphic Design"/>
    <x v="5"/>
    <x v="0"/>
    <s v="11:00-12:00  AM"/>
    <s v="Ongoin"/>
    <x v="2"/>
    <x v="0"/>
    <x v="0"/>
  </r>
  <r>
    <s v="ADM0236"/>
    <x v="6"/>
    <s v="STU0236"/>
    <s v="Falguni Vala"/>
    <d v="2004-03-18T00:00:00"/>
    <x v="3"/>
    <x v="3"/>
    <x v="6"/>
    <x v="6"/>
    <s v="Graphic Design"/>
    <x v="6"/>
    <x v="1"/>
    <s v="10:00-11:00 AM"/>
    <s v="Ongoin"/>
    <x v="0"/>
    <x v="0"/>
    <x v="0"/>
  </r>
  <r>
    <s v="ADM0237"/>
    <x v="7"/>
    <s v="STU0237"/>
    <s v="Dhruvin Bhadani"/>
    <d v="2006-11-06T00:00:00"/>
    <x v="5"/>
    <x v="5"/>
    <x v="7"/>
    <x v="7"/>
    <s v="UI/UX Design"/>
    <x v="7"/>
    <x v="0"/>
    <s v="04:00-05:00 PM"/>
    <s v="Ongoin"/>
    <x v="3"/>
    <x v="0"/>
    <x v="0"/>
  </r>
  <r>
    <s v="ADM0238"/>
    <x v="8"/>
    <s v="STU0238"/>
    <s v="Rashi Khorani"/>
    <d v="2004-05-29T00:00:00"/>
    <x v="0"/>
    <x v="0"/>
    <x v="8"/>
    <x v="8"/>
    <s v="AI &amp; Data Science"/>
    <x v="0"/>
    <x v="1"/>
    <s v="09:00-10:00 AM"/>
    <s v="Ongoin"/>
    <x v="0"/>
    <x v="0"/>
    <x v="0"/>
  </r>
  <r>
    <s v="ADM0239"/>
    <x v="9"/>
    <s v="STU0239"/>
    <s v="Pragnesh Dholu"/>
    <d v="2005-08-12T00:00:00"/>
    <x v="3"/>
    <x v="3"/>
    <x v="9"/>
    <x v="9"/>
    <s v="Game Development"/>
    <x v="1"/>
    <x v="1"/>
    <s v="05:00- 06:00PM"/>
    <s v="Ongoin"/>
    <x v="2"/>
    <x v="0"/>
    <x v="0"/>
  </r>
  <r>
    <s v="ADM0240"/>
    <x v="10"/>
    <s v="STU0240"/>
    <s v="Nupur Dhandhukiya"/>
    <d v="2004-10-03T00:00:00"/>
    <x v="6"/>
    <x v="6"/>
    <x v="10"/>
    <x v="0"/>
    <s v="Cyber Security"/>
    <x v="2"/>
    <x v="0"/>
    <s v="09:00 - 10:00 AM"/>
    <s v="Ongoin"/>
    <x v="0"/>
    <x v="0"/>
    <x v="0"/>
  </r>
  <r>
    <s v="ADM0241"/>
    <x v="11"/>
    <s v="STU0241"/>
    <s v="Hitesh Sariya"/>
    <d v="2005-02-22T00:00:00"/>
    <x v="1"/>
    <x v="1"/>
    <x v="11"/>
    <x v="1"/>
    <s v="Programming"/>
    <x v="3"/>
    <x v="0"/>
    <s v="03:00-04:00 PM"/>
    <s v="Ongoin"/>
    <x v="2"/>
    <x v="0"/>
    <x v="0"/>
  </r>
  <r>
    <s v="ADM0242"/>
    <x v="12"/>
    <s v="STU0242"/>
    <s v="Ravish Chovatiya"/>
    <d v="2004-04-15T00:00:00"/>
    <x v="3"/>
    <x v="3"/>
    <x v="12"/>
    <x v="2"/>
    <s v="Design"/>
    <x v="4"/>
    <x v="1"/>
    <s v="06:00 - 07:00 PM"/>
    <s v="Ongoin"/>
    <x v="0"/>
    <x v="0"/>
    <x v="0"/>
  </r>
  <r>
    <s v="ADM0243"/>
    <x v="13"/>
    <s v="STU0243"/>
    <s v="Bhakti Bhut"/>
    <d v="2005-09-27T00:00:00"/>
    <x v="7"/>
    <x v="7"/>
    <x v="13"/>
    <x v="3"/>
    <s v="Design &amp; Video Editing"/>
    <x v="5"/>
    <x v="0"/>
    <s v="11:00-12:00  AM"/>
    <s v="Ongoin"/>
    <x v="2"/>
    <x v="0"/>
    <x v="0"/>
  </r>
  <r>
    <s v="ADM0244"/>
    <x v="14"/>
    <s v="STU0244"/>
    <s v="Mihir Khachar"/>
    <d v="2004-12-08T00:00:00"/>
    <x v="3"/>
    <x v="3"/>
    <x v="14"/>
    <x v="4"/>
    <s v="Graphic Design"/>
    <x v="6"/>
    <x v="0"/>
    <s v="10:00-11:00 AM"/>
    <s v="Ongoin"/>
    <x v="2"/>
    <x v="0"/>
    <x v="0"/>
  </r>
  <r>
    <s v="ADM0245"/>
    <x v="15"/>
    <s v="STU0245"/>
    <s v="Rutuja Kachot"/>
    <d v="2005-06-19T00:00:00"/>
    <x v="0"/>
    <x v="0"/>
    <x v="0"/>
    <x v="5"/>
    <s v="Graphic Design"/>
    <x v="7"/>
    <x v="1"/>
    <s v="04:00-05:00 PM"/>
    <s v="Ongoin"/>
    <x v="2"/>
    <x v="0"/>
    <x v="0"/>
  </r>
  <r>
    <s v="ADM0246"/>
    <x v="16"/>
    <s v="STU0246"/>
    <s v="Aarav Karkar"/>
    <d v="2008-01-24T00:00:00"/>
    <x v="1"/>
    <x v="1"/>
    <x v="1"/>
    <x v="6"/>
    <s v="Graphic Design"/>
    <x v="0"/>
    <x v="0"/>
    <s v="09:00-10:00 AM"/>
    <s v="Ongoin"/>
    <x v="4"/>
    <x v="0"/>
    <x v="0"/>
  </r>
  <r>
    <s v="ADM0247"/>
    <x v="17"/>
    <s v="STU0247"/>
    <s v="Prerna Vaghasiya"/>
    <d v="2005-07-02T00:00:00"/>
    <x v="2"/>
    <x v="2"/>
    <x v="2"/>
    <x v="7"/>
    <s v="UI/UX Design"/>
    <x v="1"/>
    <x v="1"/>
    <s v="05:00- 06:00PM"/>
    <s v="Ongoin"/>
    <x v="2"/>
    <x v="0"/>
    <x v="0"/>
  </r>
  <r>
    <s v="ADM0248"/>
    <x v="18"/>
    <s v="STU0248"/>
    <s v="Kushagra Pansuriya"/>
    <d v="2004-11-10T00:00:00"/>
    <x v="3"/>
    <x v="3"/>
    <x v="3"/>
    <x v="8"/>
    <s v="AI &amp; Data Science"/>
    <x v="2"/>
    <x v="1"/>
    <s v="09:00 - 10:00 AM"/>
    <s v="Ongoin"/>
    <x v="2"/>
    <x v="0"/>
    <x v="0"/>
  </r>
  <r>
    <s v="ADM0249"/>
    <x v="19"/>
    <s v="STU0249"/>
    <s v="Siddhant Lathiya"/>
    <d v="2005-05-16T00:00:00"/>
    <x v="0"/>
    <x v="0"/>
    <x v="4"/>
    <x v="9"/>
    <s v="Game Development"/>
    <x v="3"/>
    <x v="0"/>
    <s v="03:00-04:00 PM"/>
    <s v="Ongoin"/>
    <x v="2"/>
    <x v="0"/>
    <x v="0"/>
  </r>
  <r>
    <s v="ADM0250"/>
    <x v="20"/>
    <s v="STU0250"/>
    <s v="Sakshi Jethwa"/>
    <d v="2004-03-31T00:00:00"/>
    <x v="4"/>
    <x v="4"/>
    <x v="5"/>
    <x v="0"/>
    <s v="Cyber Security"/>
    <x v="4"/>
    <x v="0"/>
    <s v="06:00 - 07:00 PM"/>
    <s v="Ongoin"/>
    <x v="0"/>
    <x v="0"/>
    <x v="0"/>
  </r>
  <r>
    <s v="ADM0251"/>
    <x v="21"/>
    <s v="STU0251"/>
    <s v="Anmol Dhanani"/>
    <d v="2006-10-07T00:00:00"/>
    <x v="3"/>
    <x v="3"/>
    <x v="6"/>
    <x v="1"/>
    <s v="Programming"/>
    <x v="5"/>
    <x v="1"/>
    <s v="11:00-12:00  AM"/>
    <s v="Ongoin"/>
    <x v="5"/>
    <x v="0"/>
    <x v="0"/>
  </r>
  <r>
    <s v="ADM0252"/>
    <x v="22"/>
    <s v="STU0252"/>
    <s v="Garima Kharva"/>
    <d v="2004-08-20T00:00:00"/>
    <x v="5"/>
    <x v="5"/>
    <x v="7"/>
    <x v="2"/>
    <s v="Design"/>
    <x v="6"/>
    <x v="0"/>
    <s v="10:00-11:00 AM"/>
    <s v="Ongoin"/>
    <x v="0"/>
    <x v="0"/>
    <x v="0"/>
  </r>
  <r>
    <s v="ADM0253"/>
    <x v="23"/>
    <s v="STU0253"/>
    <s v="Mayank Gajera"/>
    <d v="2005-01-14T00:00:00"/>
    <x v="0"/>
    <x v="0"/>
    <x v="8"/>
    <x v="3"/>
    <s v="Design &amp; Video Editing"/>
    <x v="7"/>
    <x v="0"/>
    <s v="09:00 - 10:00 AM"/>
    <s v="Ongoin"/>
    <x v="2"/>
    <x v="0"/>
    <x v="0"/>
  </r>
  <r>
    <s v="ADM0254"/>
    <x v="24"/>
    <s v="STU0254"/>
    <s v="Ritika Gadhiya"/>
    <d v="2004-06-05T00:00:00"/>
    <x v="3"/>
    <x v="3"/>
    <x v="9"/>
    <x v="4"/>
    <s v="Graphic Design"/>
    <x v="0"/>
    <x v="1"/>
    <s v="03:00-04:00 PM"/>
    <s v="Ongoin"/>
    <x v="0"/>
    <x v="0"/>
    <x v="0"/>
  </r>
  <r>
    <s v="ADM0255"/>
    <x v="25"/>
    <s v="STU0255"/>
    <s v="Tarun Chikani"/>
    <d v="2008-12-28T00:00:00"/>
    <x v="6"/>
    <x v="6"/>
    <x v="10"/>
    <x v="5"/>
    <s v="Graphic Design"/>
    <x v="1"/>
    <x v="0"/>
    <s v="06:00 - 07:00 PM"/>
    <s v="Ongoin"/>
    <x v="6"/>
    <x v="0"/>
    <x v="0"/>
  </r>
  <r>
    <s v="ADM0256"/>
    <x v="26"/>
    <s v="STU0256"/>
    <s v="Piyush Bhadarka"/>
    <d v="2004-09-17T00:00:00"/>
    <x v="1"/>
    <x v="1"/>
    <x v="11"/>
    <x v="6"/>
    <s v="Graphic Design"/>
    <x v="2"/>
    <x v="0"/>
    <s v="11:00-12:00  AM"/>
    <s v="Ongoin"/>
    <x v="0"/>
    <x v="0"/>
    <x v="0"/>
  </r>
  <r>
    <s v="ADM0257"/>
    <x v="27"/>
    <s v="STU0257"/>
    <s v="Ishani Bhalani"/>
    <d v="2005-04-03T00:00:00"/>
    <x v="3"/>
    <x v="3"/>
    <x v="12"/>
    <x v="7"/>
    <s v="UI/UX Design"/>
    <x v="3"/>
    <x v="1"/>
    <s v="10:00-11:00 AM"/>
    <s v="Ongoin"/>
    <x v="2"/>
    <x v="0"/>
    <x v="0"/>
  </r>
  <r>
    <s v="ADM0258"/>
    <x v="28"/>
    <s v="STU0258"/>
    <s v="Abhinav Kankot"/>
    <d v="2004-11-26T00:00:00"/>
    <x v="7"/>
    <x v="7"/>
    <x v="13"/>
    <x v="8"/>
    <s v="AI &amp; Data Science"/>
    <x v="4"/>
    <x v="0"/>
    <s v="04:00-05:00 PM"/>
    <s v="Ongoin"/>
    <x v="2"/>
    <x v="0"/>
    <x v="0"/>
  </r>
  <r>
    <s v="ADM0259"/>
    <x v="29"/>
    <s v="STU0259"/>
    <s v="Sakshi Khandhediya"/>
    <d v="2005-07-11T00:00:00"/>
    <x v="3"/>
    <x v="3"/>
    <x v="14"/>
    <x v="9"/>
    <s v="Game Development"/>
    <x v="5"/>
    <x v="1"/>
    <s v="09:00-10:00 AM"/>
    <s v="Ongoin"/>
    <x v="2"/>
    <x v="0"/>
    <x v="0"/>
  </r>
  <r>
    <s v="ADM0595"/>
    <x v="30"/>
    <s v="STU0595"/>
    <s v="Avni Kathiriya"/>
    <d v="2006-12-02T00:00:00"/>
    <x v="7"/>
    <x v="7"/>
    <x v="13"/>
    <x v="7"/>
    <s v="UI/UX Design"/>
    <x v="5"/>
    <x v="0"/>
    <s v="10:00-11:00 AM"/>
    <s v="Ongoin"/>
    <x v="3"/>
    <x v="0"/>
    <x v="1"/>
  </r>
  <r>
    <s v="ADM0596"/>
    <x v="31"/>
    <s v="STU0596"/>
    <s v="Jay Padsara"/>
    <d v="2006-11-07T00:00:00"/>
    <x v="1"/>
    <x v="1"/>
    <x v="1"/>
    <x v="8"/>
    <s v="AI &amp; Data Science"/>
    <x v="1"/>
    <x v="0"/>
    <s v="04:00-05:00 PM"/>
    <s v="Ongoin"/>
    <x v="3"/>
    <x v="0"/>
    <x v="1"/>
  </r>
  <r>
    <s v="ADM0597"/>
    <x v="32"/>
    <s v="STU0597"/>
    <s v="Krisha Joshi"/>
    <d v="2005-08-14T00:00:00"/>
    <x v="8"/>
    <x v="8"/>
    <x v="15"/>
    <x v="9"/>
    <s v="Game Development"/>
    <x v="3"/>
    <x v="0"/>
    <s v="09:00-10:00 AM"/>
    <s v="Ongoin"/>
    <x v="2"/>
    <x v="0"/>
    <x v="1"/>
  </r>
  <r>
    <s v="ADM0598"/>
    <x v="33"/>
    <s v="STU0598"/>
    <s v="Rahil Gondaliya"/>
    <d v="2006-12-02T00:00:00"/>
    <x v="0"/>
    <x v="0"/>
    <x v="8"/>
    <x v="9"/>
    <s v="Game Development"/>
    <x v="4"/>
    <x v="0"/>
    <s v="05:00- 06:00PM"/>
    <s v="Ongoin"/>
    <x v="3"/>
    <x v="0"/>
    <x v="1"/>
  </r>
  <r>
    <s v="ADM0599"/>
    <x v="34"/>
    <s v="STU0599"/>
    <s v="Pinal Donga"/>
    <d v="2006-11-07T00:00:00"/>
    <x v="4"/>
    <x v="4"/>
    <x v="5"/>
    <x v="4"/>
    <s v="Graphic Design"/>
    <x v="5"/>
    <x v="0"/>
    <s v="03:00-04:00 PM"/>
    <s v="Ongoin"/>
    <x v="3"/>
    <x v="0"/>
    <x v="1"/>
  </r>
  <r>
    <s v="ADM0600"/>
    <x v="35"/>
    <s v="STU0600"/>
    <s v="Devanshi Sakhiya"/>
    <d v="2005-08-14T00:00:00"/>
    <x v="6"/>
    <x v="6"/>
    <x v="10"/>
    <x v="5"/>
    <s v="Graphic Design"/>
    <x v="1"/>
    <x v="0"/>
    <s v="09:00 - 10:00 AM"/>
    <s v="Ongoin"/>
    <x v="2"/>
    <x v="0"/>
    <x v="1"/>
  </r>
  <r>
    <s v="ADM0601"/>
    <x v="36"/>
    <s v="STU0601"/>
    <s v="Aariz Khan"/>
    <d v="2007-12-02T00:00:00"/>
    <x v="1"/>
    <x v="1"/>
    <x v="11"/>
    <x v="6"/>
    <s v="Graphic Design"/>
    <x v="3"/>
    <x v="0"/>
    <s v="03:00-04:00 PM"/>
    <s v="Ongoin"/>
    <x v="4"/>
    <x v="0"/>
    <x v="1"/>
  </r>
  <r>
    <s v="ADM0602"/>
    <x v="37"/>
    <s v="STU0602"/>
    <s v="Jensi Skhakiya"/>
    <d v="2006-11-07T00:00:00"/>
    <x v="3"/>
    <x v="3"/>
    <x v="12"/>
    <x v="7"/>
    <s v="UI/UX Design"/>
    <x v="4"/>
    <x v="0"/>
    <s v="06:00 - 07:00 PM"/>
    <s v="Ongoin"/>
    <x v="3"/>
    <x v="0"/>
    <x v="1"/>
  </r>
  <r>
    <s v="ADM0603"/>
    <x v="38"/>
    <s v="STU0603"/>
    <s v="Arman Padsara"/>
    <d v="2005-08-14T00:00:00"/>
    <x v="7"/>
    <x v="7"/>
    <x v="13"/>
    <x v="8"/>
    <s v="AI &amp; Data Science"/>
    <x v="5"/>
    <x v="0"/>
    <s v="11:00-12:00  AM"/>
    <s v="Ongoin"/>
    <x v="2"/>
    <x v="0"/>
    <x v="1"/>
  </r>
  <r>
    <s v="ADM0604"/>
    <x v="39"/>
    <s v="STU0604"/>
    <s v="Hetvi Sakhiya"/>
    <d v="2006-12-02T00:00:00"/>
    <x v="1"/>
    <x v="1"/>
    <x v="1"/>
    <x v="9"/>
    <s v="Game Development"/>
    <x v="1"/>
    <x v="0"/>
    <s v="10:00-11:00 AM"/>
    <s v="Ongoin"/>
    <x v="3"/>
    <x v="0"/>
    <x v="1"/>
  </r>
  <r>
    <s v="ADM0605"/>
    <x v="40"/>
    <s v="STU0605"/>
    <s v="Yug Joshi"/>
    <d v="2006-11-07T00:00:00"/>
    <x v="8"/>
    <x v="8"/>
    <x v="15"/>
    <x v="9"/>
    <s v="Game Development"/>
    <x v="3"/>
    <x v="0"/>
    <s v="04:00-05:00 PM"/>
    <s v="Ongoin"/>
    <x v="3"/>
    <x v="0"/>
    <x v="1"/>
  </r>
  <r>
    <s v="ADM0606"/>
    <x v="41"/>
    <s v="STU0606"/>
    <s v="Zain Khan"/>
    <d v="2005-08-14T00:00:00"/>
    <x v="0"/>
    <x v="0"/>
    <x v="8"/>
    <x v="4"/>
    <s v="Graphic Design"/>
    <x v="4"/>
    <x v="0"/>
    <s v="09:00-10:00 AM"/>
    <s v="Ongoin"/>
    <x v="2"/>
    <x v="0"/>
    <x v="1"/>
  </r>
  <r>
    <s v="ADM0607"/>
    <x v="42"/>
    <s v="STU0607"/>
    <s v="Bhavik Donga"/>
    <d v="2006-12-02T00:00:00"/>
    <x v="4"/>
    <x v="4"/>
    <x v="5"/>
    <x v="5"/>
    <s v="Graphic Design"/>
    <x v="5"/>
    <x v="0"/>
    <s v="05:00- 06:00PM"/>
    <s v="Ongoin"/>
    <x v="3"/>
    <x v="0"/>
    <x v="1"/>
  </r>
  <r>
    <s v="ADM0608"/>
    <x v="43"/>
    <s v="STU0608"/>
    <s v="Jhanvi Gondaliya"/>
    <d v="2008-11-07T00:00:00"/>
    <x v="6"/>
    <x v="6"/>
    <x v="10"/>
    <x v="6"/>
    <s v="Graphic Design"/>
    <x v="1"/>
    <x v="0"/>
    <s v="03:00-04:00 PM"/>
    <s v="Ongoin"/>
    <x v="6"/>
    <x v="0"/>
    <x v="1"/>
  </r>
  <r>
    <s v="ADM0609"/>
    <x v="44"/>
    <s v="STU0609"/>
    <s v="Tirth Sakhiya"/>
    <d v="2005-08-14T00:00:00"/>
    <x v="1"/>
    <x v="1"/>
    <x v="11"/>
    <x v="7"/>
    <s v="UI/UX Design"/>
    <x v="3"/>
    <x v="0"/>
    <s v="09:00 - 10:00 AM"/>
    <s v="Ongoin"/>
    <x v="2"/>
    <x v="0"/>
    <x v="1"/>
  </r>
  <r>
    <s v="ADM0610"/>
    <x v="45"/>
    <s v="STU0610"/>
    <s v="Mansi Taraviya"/>
    <d v="2006-12-02T00:00:00"/>
    <x v="3"/>
    <x v="3"/>
    <x v="12"/>
    <x v="8"/>
    <s v="AI &amp; Data Science"/>
    <x v="4"/>
    <x v="0"/>
    <s v="03:00-04:00 PM"/>
    <s v="Ongoin"/>
    <x v="3"/>
    <x v="0"/>
    <x v="1"/>
  </r>
  <r>
    <s v="ADM0611"/>
    <x v="46"/>
    <s v="STU0611"/>
    <s v="Rehan Khan"/>
    <d v="2006-11-07T00:00:00"/>
    <x v="7"/>
    <x v="7"/>
    <x v="13"/>
    <x v="9"/>
    <s v="Game Development"/>
    <x v="5"/>
    <x v="0"/>
    <s v="06:00 - 07:00 PM"/>
    <s v="Ongoin"/>
    <x v="3"/>
    <x v="0"/>
    <x v="1"/>
  </r>
  <r>
    <s v="ADM0612"/>
    <x v="47"/>
    <s v="STU0612"/>
    <s v="Avni Kathiriya"/>
    <d v="2005-08-14T00:00:00"/>
    <x v="1"/>
    <x v="1"/>
    <x v="1"/>
    <x v="9"/>
    <s v="Game Development"/>
    <x v="1"/>
    <x v="0"/>
    <s v="11:00-12:00  AM"/>
    <s v="Ongoin"/>
    <x v="2"/>
    <x v="0"/>
    <x v="1"/>
  </r>
  <r>
    <s v="ADM0613"/>
    <x v="48"/>
    <s v="STU0613"/>
    <s v="Jay Padsara"/>
    <d v="2006-12-02T00:00:00"/>
    <x v="8"/>
    <x v="8"/>
    <x v="15"/>
    <x v="4"/>
    <s v="Graphic Design"/>
    <x v="3"/>
    <x v="0"/>
    <s v="10:00-11:00 AM"/>
    <s v="Ongoin"/>
    <x v="3"/>
    <x v="0"/>
    <x v="1"/>
  </r>
  <r>
    <s v="ADM0614"/>
    <x v="49"/>
    <s v="STU0614"/>
    <s v="Krisha Joshi"/>
    <d v="2006-11-07T00:00:00"/>
    <x v="0"/>
    <x v="0"/>
    <x v="8"/>
    <x v="5"/>
    <s v="Graphic Design"/>
    <x v="4"/>
    <x v="0"/>
    <s v="04:00-05:00 PM"/>
    <s v="Ongoin"/>
    <x v="3"/>
    <x v="0"/>
    <x v="1"/>
  </r>
  <r>
    <s v="ADM0615"/>
    <x v="50"/>
    <s v="STU0615"/>
    <s v="Rahil Gondaliya"/>
    <d v="2005-08-14T00:00:00"/>
    <x v="4"/>
    <x v="4"/>
    <x v="5"/>
    <x v="6"/>
    <s v="Graphic Design"/>
    <x v="5"/>
    <x v="0"/>
    <s v="09:00-10:00 AM"/>
    <s v="Ongoin"/>
    <x v="2"/>
    <x v="0"/>
    <x v="1"/>
  </r>
  <r>
    <s v="ADM0616"/>
    <x v="51"/>
    <s v="STU0616"/>
    <s v="Pinal Donga"/>
    <d v="2006-12-02T00:00:00"/>
    <x v="6"/>
    <x v="6"/>
    <x v="10"/>
    <x v="7"/>
    <s v="UI/UX Design"/>
    <x v="1"/>
    <x v="0"/>
    <s v="05:00- 06:00PM"/>
    <s v="Ongoin"/>
    <x v="3"/>
    <x v="0"/>
    <x v="1"/>
  </r>
  <r>
    <s v="ADM0617"/>
    <x v="52"/>
    <s v="STU0617"/>
    <s v="Devanshi Sakhiya"/>
    <d v="2006-11-07T00:00:00"/>
    <x v="1"/>
    <x v="1"/>
    <x v="11"/>
    <x v="8"/>
    <s v="AI &amp; Data Science"/>
    <x v="3"/>
    <x v="0"/>
    <s v="03:00-04:00 PM"/>
    <s v="Ongoin"/>
    <x v="3"/>
    <x v="0"/>
    <x v="1"/>
  </r>
  <r>
    <s v="ADM0618"/>
    <x v="53"/>
    <s v="STU0618"/>
    <s v="Aariz Khan"/>
    <d v="2005-08-14T00:00:00"/>
    <x v="3"/>
    <x v="3"/>
    <x v="12"/>
    <x v="9"/>
    <s v="Game Development"/>
    <x v="4"/>
    <x v="0"/>
    <s v="09:00 - 10:00 AM"/>
    <s v="Ongoin"/>
    <x v="2"/>
    <x v="0"/>
    <x v="1"/>
  </r>
  <r>
    <s v="ADM0619"/>
    <x v="54"/>
    <s v="STU0619"/>
    <s v="Jensi Skhakiya"/>
    <d v="2009-12-02T00:00:00"/>
    <x v="7"/>
    <x v="7"/>
    <x v="13"/>
    <x v="9"/>
    <s v="Game Development"/>
    <x v="5"/>
    <x v="0"/>
    <s v="03:00-04:00 PM"/>
    <s v="Ongoin"/>
    <x v="1"/>
    <x v="0"/>
    <x v="1"/>
  </r>
  <r>
    <s v="ADM0620"/>
    <x v="55"/>
    <s v="STU0620"/>
    <s v="Arman Padsara"/>
    <d v="2006-11-07T00:00:00"/>
    <x v="1"/>
    <x v="1"/>
    <x v="1"/>
    <x v="4"/>
    <s v="Graphic Design"/>
    <x v="1"/>
    <x v="0"/>
    <s v="06:00 - 07:00 PM"/>
    <s v="Ongoin"/>
    <x v="3"/>
    <x v="0"/>
    <x v="1"/>
  </r>
  <r>
    <s v="ADM0621"/>
    <x v="56"/>
    <s v="STU0621"/>
    <s v="Hetvi Sakhiya"/>
    <d v="2005-08-14T00:00:00"/>
    <x v="8"/>
    <x v="8"/>
    <x v="15"/>
    <x v="5"/>
    <s v="Graphic Design"/>
    <x v="3"/>
    <x v="0"/>
    <s v="11:00-12:00  AM"/>
    <s v="Ongoin"/>
    <x v="2"/>
    <x v="0"/>
    <x v="1"/>
  </r>
  <r>
    <s v="ADM0622"/>
    <x v="57"/>
    <s v="STU0622"/>
    <s v="Yug Joshi"/>
    <d v="2006-12-02T00:00:00"/>
    <x v="0"/>
    <x v="0"/>
    <x v="8"/>
    <x v="6"/>
    <s v="Graphic Design"/>
    <x v="4"/>
    <x v="0"/>
    <s v="10:00-11:00 AM"/>
    <s v="Ongoin"/>
    <x v="3"/>
    <x v="0"/>
    <x v="1"/>
  </r>
  <r>
    <s v="ADM0623"/>
    <x v="58"/>
    <s v="STU0623"/>
    <s v="Zain Khan"/>
    <d v="2006-11-07T00:00:00"/>
    <x v="4"/>
    <x v="4"/>
    <x v="5"/>
    <x v="7"/>
    <s v="UI/UX Design"/>
    <x v="5"/>
    <x v="0"/>
    <s v="04:00-05:00 PM"/>
    <s v="Ongoin"/>
    <x v="3"/>
    <x v="0"/>
    <x v="1"/>
  </r>
  <r>
    <s v="ADM0624"/>
    <x v="59"/>
    <s v="STU0624"/>
    <s v="Bhavik Donga"/>
    <d v="2005-08-14T00:00:00"/>
    <x v="6"/>
    <x v="6"/>
    <x v="10"/>
    <x v="8"/>
    <s v="AI &amp; Data Science"/>
    <x v="1"/>
    <x v="0"/>
    <s v="09:00-10:00 AM"/>
    <s v="Ongoin"/>
    <x v="2"/>
    <x v="0"/>
    <x v="1"/>
  </r>
  <r>
    <s v="ADM0260"/>
    <x v="60"/>
    <s v="STU0260"/>
    <s v="Vikas Gajipara"/>
    <d v="2007-02-09T00:00:00"/>
    <x v="7"/>
    <x v="7"/>
    <x v="13"/>
    <x v="0"/>
    <s v="Cyber Security"/>
    <x v="6"/>
    <x v="1"/>
    <s v="05:00- 06:00PM"/>
    <s v="Ongoin"/>
    <x v="3"/>
    <x v="1"/>
    <x v="0"/>
  </r>
  <r>
    <s v="ADM0261"/>
    <x v="61"/>
    <s v="STU0261"/>
    <s v="Nandita Kothiya"/>
    <d v="2005-09-22T00:00:00"/>
    <x v="3"/>
    <x v="3"/>
    <x v="14"/>
    <x v="1"/>
    <s v="Programming"/>
    <x v="7"/>
    <x v="0"/>
    <s v="09:00 - 10:00 AM"/>
    <s v="Ongoin"/>
    <x v="2"/>
    <x v="1"/>
    <x v="0"/>
  </r>
  <r>
    <s v="ADM0262"/>
    <x v="62"/>
    <s v="STU0262"/>
    <s v="Shubham Sondarva"/>
    <d v="2004-05-30T00:00:00"/>
    <x v="0"/>
    <x v="0"/>
    <x v="0"/>
    <x v="2"/>
    <s v="Design"/>
    <x v="0"/>
    <x v="0"/>
    <s v="03:00-04:00 PM"/>
    <s v="Ongoin"/>
    <x v="0"/>
    <x v="1"/>
    <x v="0"/>
  </r>
  <r>
    <s v="ADM0263"/>
    <x v="63"/>
    <s v="STU0263"/>
    <s v="Akansha Dalsaniya"/>
    <d v="2005-01-18T00:00:00"/>
    <x v="1"/>
    <x v="1"/>
    <x v="1"/>
    <x v="3"/>
    <s v="Design &amp; Video Editing"/>
    <x v="1"/>
    <x v="1"/>
    <s v="06:00 - 07:00 PM"/>
    <s v="Ongoin"/>
    <x v="2"/>
    <x v="1"/>
    <x v="0"/>
  </r>
  <r>
    <s v="ADM0264"/>
    <x v="64"/>
    <s v="STU0264"/>
    <s v="Varsha Dhadhal"/>
    <d v="2004-08-04T00:00:00"/>
    <x v="2"/>
    <x v="2"/>
    <x v="2"/>
    <x v="4"/>
    <s v="Graphic Design"/>
    <x v="2"/>
    <x v="0"/>
    <s v="11:00-12:00  AM"/>
    <s v="Ongoin"/>
    <x v="0"/>
    <x v="1"/>
    <x v="0"/>
  </r>
  <r>
    <s v="ADM0265"/>
    <x v="65"/>
    <s v="STU0265"/>
    <s v="Pradeep Karmur"/>
    <d v="2005-11-25T00:00:00"/>
    <x v="3"/>
    <x v="3"/>
    <x v="3"/>
    <x v="5"/>
    <s v="Graphic Design"/>
    <x v="3"/>
    <x v="0"/>
    <s v="10:00-11:00 AM"/>
    <s v="Ongoin"/>
    <x v="5"/>
    <x v="1"/>
    <x v="0"/>
  </r>
  <r>
    <s v="ADM0266"/>
    <x v="66"/>
    <s v="STU0266"/>
    <s v="Rajat Khunt"/>
    <d v="2004-03-12T00:00:00"/>
    <x v="0"/>
    <x v="0"/>
    <x v="4"/>
    <x v="6"/>
    <s v="Graphic Design"/>
    <x v="4"/>
    <x v="1"/>
    <s v="04:00-05:00 PM"/>
    <s v="Ongoin"/>
    <x v="0"/>
    <x v="1"/>
    <x v="0"/>
  </r>
  <r>
    <s v="ADM0267"/>
    <x v="67"/>
    <s v="STU0267"/>
    <s v="Shalini Vachhani"/>
    <d v="2005-06-06T00:00:00"/>
    <x v="4"/>
    <x v="4"/>
    <x v="5"/>
    <x v="7"/>
    <s v="UI/UX Design"/>
    <x v="5"/>
    <x v="0"/>
    <s v="09:00-10:00 AM"/>
    <s v="Ongoin"/>
    <x v="2"/>
    <x v="1"/>
    <x v="0"/>
  </r>
  <r>
    <s v="ADM0268"/>
    <x v="68"/>
    <s v="STU0268"/>
    <s v="Lokesh Boricha"/>
    <d v="2009-10-23T00:00:00"/>
    <x v="3"/>
    <x v="3"/>
    <x v="6"/>
    <x v="8"/>
    <s v="AI &amp; Data Science"/>
    <x v="6"/>
    <x v="1"/>
    <s v="05:00- 06:00PM"/>
    <s v="Ongoin"/>
    <x v="1"/>
    <x v="1"/>
    <x v="0"/>
  </r>
  <r>
    <s v="ADM0269"/>
    <x v="69"/>
    <s v="STU0269"/>
    <s v="Poonam Dholariya"/>
    <d v="2005-02-15T00:00:00"/>
    <x v="5"/>
    <x v="5"/>
    <x v="7"/>
    <x v="9"/>
    <s v="Game Development"/>
    <x v="7"/>
    <x v="1"/>
    <s v="09:00 - 10:00 AM"/>
    <s v="Ongoin"/>
    <x v="2"/>
    <x v="1"/>
    <x v="0"/>
  </r>
  <r>
    <s v="ADM0270"/>
    <x v="70"/>
    <s v="STU0270"/>
    <s v="Girish Jivani"/>
    <d v="2004-07-01T00:00:00"/>
    <x v="0"/>
    <x v="0"/>
    <x v="8"/>
    <x v="0"/>
    <s v="Cyber Security"/>
    <x v="0"/>
    <x v="0"/>
    <s v="03:00-04:00 PM"/>
    <s v="Ongoin"/>
    <x v="0"/>
    <x v="1"/>
    <x v="0"/>
  </r>
  <r>
    <s v="ADM0271"/>
    <x v="71"/>
    <s v="STU0271"/>
    <s v="Suman Mavani"/>
    <d v="2006-08-29T00:00:00"/>
    <x v="3"/>
    <x v="3"/>
    <x v="9"/>
    <x v="1"/>
    <s v="Programming"/>
    <x v="1"/>
    <x v="0"/>
    <s v="06:00 - 07:00 PM"/>
    <s v="Ongoin"/>
    <x v="5"/>
    <x v="1"/>
    <x v="0"/>
  </r>
  <r>
    <s v="ADM0272"/>
    <x v="72"/>
    <s v="STU0272"/>
    <s v="Dinesh Ramani"/>
    <d v="2004-04-07T00:00:00"/>
    <x v="6"/>
    <x v="6"/>
    <x v="10"/>
    <x v="2"/>
    <s v="Design"/>
    <x v="2"/>
    <x v="1"/>
    <s v="11:00-12:00  AM"/>
    <s v="Ongoin"/>
    <x v="0"/>
    <x v="1"/>
    <x v="0"/>
  </r>
  <r>
    <s v="ADM0273"/>
    <x v="73"/>
    <s v="STU0273"/>
    <s v="Archana Vekariya"/>
    <d v="2007-12-16T00:00:00"/>
    <x v="1"/>
    <x v="1"/>
    <x v="11"/>
    <x v="3"/>
    <s v="Design &amp; Video Editing"/>
    <x v="3"/>
    <x v="0"/>
    <s v="10:00-11:00 AM"/>
    <s v="Ongoin"/>
    <x v="4"/>
    <x v="1"/>
    <x v="0"/>
  </r>
  <r>
    <s v="ADM0274"/>
    <x v="74"/>
    <s v="STU0274"/>
    <s v="Mukesh Savani"/>
    <d v="2007-01-21T00:00:00"/>
    <x v="3"/>
    <x v="3"/>
    <x v="12"/>
    <x v="4"/>
    <s v="Graphic Design"/>
    <x v="4"/>
    <x v="0"/>
    <s v="09:00 - 10:00 AM"/>
    <s v="Ongoin"/>
    <x v="3"/>
    <x v="1"/>
    <x v="0"/>
  </r>
  <r>
    <s v="ADM0275"/>
    <x v="75"/>
    <s v="STU0275"/>
    <s v="Geeta Keshwala"/>
    <d v="2008-05-10T00:00:00"/>
    <x v="7"/>
    <x v="7"/>
    <x v="13"/>
    <x v="5"/>
    <s v="Graphic Design"/>
    <x v="5"/>
    <x v="1"/>
    <s v="03:00-04:00 PM"/>
    <s v="Ongoin"/>
    <x v="4"/>
    <x v="1"/>
    <x v="0"/>
  </r>
  <r>
    <s v="ADM0276"/>
    <x v="76"/>
    <s v="STU0276"/>
    <s v="Sunil Ghelani"/>
    <d v="2004-09-13T00:00:00"/>
    <x v="3"/>
    <x v="3"/>
    <x v="14"/>
    <x v="6"/>
    <s v="Graphic Design"/>
    <x v="6"/>
    <x v="0"/>
    <s v="06:00 - 07:00 PM"/>
    <s v="Ongoin"/>
    <x v="0"/>
    <x v="1"/>
    <x v="0"/>
  </r>
  <r>
    <s v="ADM0277"/>
    <x v="77"/>
    <s v="STU0277"/>
    <s v="Rekha Khorani"/>
    <d v="2005-03-27T00:00:00"/>
    <x v="0"/>
    <x v="0"/>
    <x v="0"/>
    <x v="7"/>
    <s v="UI/UX Design"/>
    <x v="7"/>
    <x v="0"/>
    <s v="11:00-12:00  AM"/>
    <s v="Ongoin"/>
    <x v="2"/>
    <x v="1"/>
    <x v="0"/>
  </r>
  <r>
    <s v="ADM0278"/>
    <x v="78"/>
    <s v="STU0278"/>
    <s v="Anil Padhiyar"/>
    <d v="2004-11-02T00:00:00"/>
    <x v="1"/>
    <x v="1"/>
    <x v="1"/>
    <x v="8"/>
    <s v="AI &amp; Data Science"/>
    <x v="0"/>
    <x v="1"/>
    <s v="10:00-11:00 AM"/>
    <s v="Ongoin"/>
    <x v="2"/>
    <x v="1"/>
    <x v="0"/>
  </r>
  <r>
    <s v="ADM0279"/>
    <x v="79"/>
    <s v="STU0279"/>
    <s v="Megha Virda"/>
    <d v="2005-07-19T00:00:00"/>
    <x v="2"/>
    <x v="2"/>
    <x v="2"/>
    <x v="9"/>
    <s v="Game Development"/>
    <x v="1"/>
    <x v="1"/>
    <s v="04:00-05:00 PM"/>
    <s v="Ongoin"/>
    <x v="2"/>
    <x v="1"/>
    <x v="0"/>
  </r>
  <r>
    <s v="ADM0280"/>
    <x v="80"/>
    <s v="STU0280"/>
    <s v="Ramesh Chotaliya"/>
    <d v="2004-04-24T00:00:00"/>
    <x v="3"/>
    <x v="3"/>
    <x v="3"/>
    <x v="0"/>
    <s v="Cyber Security"/>
    <x v="2"/>
    <x v="1"/>
    <s v="09:00-10:00 AM"/>
    <s v="Ongoin"/>
    <x v="0"/>
    <x v="1"/>
    <x v="0"/>
  </r>
  <r>
    <s v="ADM0281"/>
    <x v="81"/>
    <s v="STU0281"/>
    <s v="Seema Kachot"/>
    <d v="2009-10-08T00:00:00"/>
    <x v="0"/>
    <x v="0"/>
    <x v="4"/>
    <x v="1"/>
    <s v="Programming"/>
    <x v="3"/>
    <x v="1"/>
    <s v="05:00- 06:00PM"/>
    <s v="Ongoin"/>
    <x v="6"/>
    <x v="1"/>
    <x v="0"/>
  </r>
  <r>
    <s v="ADM0282"/>
    <x v="82"/>
    <s v="STU0282"/>
    <s v="Vinod Vaghasiya"/>
    <d v="2004-03-05T00:00:00"/>
    <x v="4"/>
    <x v="4"/>
    <x v="5"/>
    <x v="2"/>
    <s v="Design"/>
    <x v="4"/>
    <x v="1"/>
    <s v="09:00 - 10:00 AM"/>
    <s v="Ongoin"/>
    <x v="0"/>
    <x v="1"/>
    <x v="0"/>
  </r>
  <r>
    <s v="ADM0283"/>
    <x v="83"/>
    <s v="STU0283"/>
    <s v="Kusum Pansuriya"/>
    <d v="2005-06-30T00:00:00"/>
    <x v="3"/>
    <x v="3"/>
    <x v="6"/>
    <x v="3"/>
    <s v="Design &amp; Video Editing"/>
    <x v="5"/>
    <x v="1"/>
    <s v="03:00-04:00 PM"/>
    <s v="Ongoin"/>
    <x v="2"/>
    <x v="1"/>
    <x v="0"/>
  </r>
  <r>
    <s v="ADM0284"/>
    <x v="84"/>
    <s v="STU0284"/>
    <s v="Ajay Lathiya"/>
    <d v="2004-11-17T00:00:00"/>
    <x v="5"/>
    <x v="5"/>
    <x v="7"/>
    <x v="4"/>
    <s v="Graphic Design"/>
    <x v="6"/>
    <x v="1"/>
    <s v="06:00 - 07:00 PM"/>
    <s v="Ongoin"/>
    <x v="2"/>
    <x v="1"/>
    <x v="0"/>
  </r>
  <r>
    <s v="ADM0285"/>
    <x v="85"/>
    <s v="STU0285"/>
    <s v="Sarita Jethwa"/>
    <d v="2006-02-12T00:00:00"/>
    <x v="0"/>
    <x v="0"/>
    <x v="8"/>
    <x v="5"/>
    <s v="Graphic Design"/>
    <x v="7"/>
    <x v="1"/>
    <s v="11:00-12:00  AM"/>
    <s v="Ongoin"/>
    <x v="5"/>
    <x v="1"/>
    <x v="0"/>
  </r>
  <r>
    <s v="ADM0286"/>
    <x v="86"/>
    <s v="STU0286"/>
    <s v="Naresh Dhanani"/>
    <d v="2006-05-28T00:00:00"/>
    <x v="3"/>
    <x v="3"/>
    <x v="9"/>
    <x v="6"/>
    <s v="Graphic Design"/>
    <x v="0"/>
    <x v="1"/>
    <s v="10:00-11:00 AM"/>
    <s v="Ongoin"/>
    <x v="5"/>
    <x v="1"/>
    <x v="0"/>
  </r>
  <r>
    <s v="ADM0287"/>
    <x v="87"/>
    <s v="STU0287"/>
    <s v="Usha Kharva"/>
    <d v="2005-12-04T00:00:00"/>
    <x v="6"/>
    <x v="6"/>
    <x v="10"/>
    <x v="7"/>
    <s v="UI/UX Design"/>
    <x v="1"/>
    <x v="1"/>
    <s v="04:00-05:00 PM"/>
    <s v="Ongoin"/>
    <x v="5"/>
    <x v="1"/>
    <x v="0"/>
  </r>
  <r>
    <s v="ADM0288"/>
    <x v="88"/>
    <s v="STU0288"/>
    <s v="Mahesh Gajera"/>
    <d v="2004-08-09T00:00:00"/>
    <x v="1"/>
    <x v="1"/>
    <x v="11"/>
    <x v="8"/>
    <s v="AI &amp; Data Science"/>
    <x v="2"/>
    <x v="1"/>
    <s v="09:00-10:00 AM"/>
    <s v="Ongoin"/>
    <x v="0"/>
    <x v="1"/>
    <x v="0"/>
  </r>
  <r>
    <s v="ADM0289"/>
    <x v="89"/>
    <s v="STU0289"/>
    <s v="Lata Gadhiya"/>
    <d v="2005-03-21T00:00:00"/>
    <x v="3"/>
    <x v="3"/>
    <x v="12"/>
    <x v="9"/>
    <s v="Game Development"/>
    <x v="3"/>
    <x v="1"/>
    <s v="05:00- 06:00PM"/>
    <s v="Ongoin"/>
    <x v="2"/>
    <x v="1"/>
    <x v="0"/>
  </r>
  <r>
    <s v="ADM0290"/>
    <x v="90"/>
    <s v="STU0290"/>
    <s v="Rajesh Chikani"/>
    <d v="2004-10-14T00:00:00"/>
    <x v="7"/>
    <x v="7"/>
    <x v="13"/>
    <x v="0"/>
    <s v="Cyber Security"/>
    <x v="4"/>
    <x v="1"/>
    <s v="09:00 - 10:00 AM"/>
    <s v="Ongoin"/>
    <x v="0"/>
    <x v="1"/>
    <x v="0"/>
  </r>
  <r>
    <s v="ADM0625"/>
    <x v="91"/>
    <s v="STU0625"/>
    <s v="Jhanvi Gondaliya"/>
    <d v="2006-12-02T00:00:00"/>
    <x v="1"/>
    <x v="1"/>
    <x v="11"/>
    <x v="9"/>
    <s v="Game Development"/>
    <x v="3"/>
    <x v="0"/>
    <s v="05:00- 06:00PM"/>
    <s v="Ongoin"/>
    <x v="3"/>
    <x v="1"/>
    <x v="1"/>
  </r>
  <r>
    <s v="ADM0626"/>
    <x v="92"/>
    <s v="STU0626"/>
    <s v="Tirth Sakhiya"/>
    <d v="2006-11-07T00:00:00"/>
    <x v="3"/>
    <x v="3"/>
    <x v="12"/>
    <x v="9"/>
    <s v="Game Development"/>
    <x v="4"/>
    <x v="0"/>
    <s v="03:00-04:00 PM"/>
    <s v="Ongoin"/>
    <x v="3"/>
    <x v="1"/>
    <x v="1"/>
  </r>
  <r>
    <s v="ADM0627"/>
    <x v="93"/>
    <s v="STU0627"/>
    <s v="Mansi Taraviya"/>
    <d v="2005-08-14T00:00:00"/>
    <x v="7"/>
    <x v="7"/>
    <x v="13"/>
    <x v="4"/>
    <s v="Graphic Design"/>
    <x v="5"/>
    <x v="0"/>
    <s v="09:00 - 10:00 AM"/>
    <s v="Ongoin"/>
    <x v="2"/>
    <x v="1"/>
    <x v="1"/>
  </r>
  <r>
    <s v="ADM0628"/>
    <x v="94"/>
    <s v="STU0628"/>
    <s v="Rehan Khan"/>
    <d v="2006-12-02T00:00:00"/>
    <x v="1"/>
    <x v="1"/>
    <x v="1"/>
    <x v="5"/>
    <s v="Graphic Design"/>
    <x v="1"/>
    <x v="0"/>
    <s v="03:00-04:00 PM"/>
    <s v="Ongoin"/>
    <x v="3"/>
    <x v="1"/>
    <x v="1"/>
  </r>
  <r>
    <s v="ADM0629"/>
    <x v="95"/>
    <s v="STU0629"/>
    <s v="Avni Kathiriya"/>
    <d v="2007-11-07T00:00:00"/>
    <x v="8"/>
    <x v="8"/>
    <x v="15"/>
    <x v="6"/>
    <s v="Graphic Design"/>
    <x v="3"/>
    <x v="0"/>
    <s v="06:00 - 07:00 PM"/>
    <s v="Ongoin"/>
    <x v="4"/>
    <x v="1"/>
    <x v="1"/>
  </r>
  <r>
    <s v="ADM0630"/>
    <x v="96"/>
    <s v="STU0630"/>
    <s v="Jay Padsara"/>
    <d v="2005-08-14T00:00:00"/>
    <x v="0"/>
    <x v="0"/>
    <x v="8"/>
    <x v="7"/>
    <s v="UI/UX Design"/>
    <x v="4"/>
    <x v="0"/>
    <s v="11:00-12:00  AM"/>
    <s v="Ongoin"/>
    <x v="2"/>
    <x v="1"/>
    <x v="1"/>
  </r>
  <r>
    <s v="ADM0631"/>
    <x v="97"/>
    <s v="STU0631"/>
    <s v="Krisha Joshi"/>
    <d v="2006-12-02T00:00:00"/>
    <x v="4"/>
    <x v="4"/>
    <x v="5"/>
    <x v="8"/>
    <s v="AI &amp; Data Science"/>
    <x v="5"/>
    <x v="0"/>
    <s v="10:00-11:00 AM"/>
    <s v="Ongoin"/>
    <x v="3"/>
    <x v="1"/>
    <x v="1"/>
  </r>
  <r>
    <s v="ADM0632"/>
    <x v="98"/>
    <s v="STU0632"/>
    <s v="Rahil Gondaliya"/>
    <d v="2006-11-07T00:00:00"/>
    <x v="6"/>
    <x v="6"/>
    <x v="10"/>
    <x v="9"/>
    <s v="Game Development"/>
    <x v="1"/>
    <x v="0"/>
    <s v="04:00-05:00 PM"/>
    <s v="Ongoin"/>
    <x v="3"/>
    <x v="1"/>
    <x v="1"/>
  </r>
  <r>
    <s v="ADM0633"/>
    <x v="99"/>
    <s v="STU0633"/>
    <s v="Pinal Donga"/>
    <d v="2005-08-14T00:00:00"/>
    <x v="1"/>
    <x v="1"/>
    <x v="11"/>
    <x v="9"/>
    <s v="Game Development"/>
    <x v="3"/>
    <x v="0"/>
    <s v="09:00-10:00 AM"/>
    <s v="Ongoin"/>
    <x v="2"/>
    <x v="1"/>
    <x v="1"/>
  </r>
  <r>
    <s v="ADM0634"/>
    <x v="100"/>
    <s v="STU0634"/>
    <s v="Devanshi Sakhiya"/>
    <d v="2006-12-02T00:00:00"/>
    <x v="3"/>
    <x v="3"/>
    <x v="12"/>
    <x v="4"/>
    <s v="Graphic Design"/>
    <x v="4"/>
    <x v="0"/>
    <s v="05:00- 06:00PM"/>
    <s v="Ongoin"/>
    <x v="3"/>
    <x v="1"/>
    <x v="1"/>
  </r>
  <r>
    <s v="ADM0635"/>
    <x v="101"/>
    <s v="STU0635"/>
    <s v="Aariz Khan"/>
    <d v="2006-11-07T00:00:00"/>
    <x v="7"/>
    <x v="7"/>
    <x v="13"/>
    <x v="5"/>
    <s v="Graphic Design"/>
    <x v="5"/>
    <x v="0"/>
    <s v="03:00-04:00 PM"/>
    <s v="Ongoin"/>
    <x v="3"/>
    <x v="1"/>
    <x v="1"/>
  </r>
  <r>
    <s v="ADM0636"/>
    <x v="102"/>
    <s v="STU0636"/>
    <s v="Jensi Skhakiya"/>
    <d v="2005-08-14T00:00:00"/>
    <x v="1"/>
    <x v="1"/>
    <x v="1"/>
    <x v="6"/>
    <s v="Graphic Design"/>
    <x v="1"/>
    <x v="0"/>
    <s v="09:00 - 10:00 AM"/>
    <s v="Ongoin"/>
    <x v="2"/>
    <x v="1"/>
    <x v="1"/>
  </r>
  <r>
    <s v="ADM0637"/>
    <x v="103"/>
    <s v="STU0637"/>
    <s v="Arman Padsara"/>
    <d v="2008-12-02T00:00:00"/>
    <x v="8"/>
    <x v="8"/>
    <x v="15"/>
    <x v="7"/>
    <s v="UI/UX Design"/>
    <x v="3"/>
    <x v="0"/>
    <s v="03:00-04:00 PM"/>
    <s v="Ongoin"/>
    <x v="6"/>
    <x v="1"/>
    <x v="1"/>
  </r>
  <r>
    <s v="ADM0638"/>
    <x v="104"/>
    <s v="STU0638"/>
    <s v="Hetvi Sakhiya"/>
    <d v="2006-11-07T00:00:00"/>
    <x v="0"/>
    <x v="0"/>
    <x v="8"/>
    <x v="8"/>
    <s v="AI &amp; Data Science"/>
    <x v="4"/>
    <x v="0"/>
    <s v="06:00 - 07:00 PM"/>
    <s v="Ongoin"/>
    <x v="3"/>
    <x v="1"/>
    <x v="1"/>
  </r>
  <r>
    <s v="ADM0639"/>
    <x v="105"/>
    <s v="STU0639"/>
    <s v="Yug Joshi"/>
    <d v="2005-08-14T00:00:00"/>
    <x v="4"/>
    <x v="4"/>
    <x v="5"/>
    <x v="9"/>
    <s v="Game Development"/>
    <x v="5"/>
    <x v="0"/>
    <s v="11:00-12:00  AM"/>
    <s v="Ongoin"/>
    <x v="2"/>
    <x v="1"/>
    <x v="1"/>
  </r>
  <r>
    <s v="ADM0640"/>
    <x v="106"/>
    <s v="STU0640"/>
    <s v="Zain Khan"/>
    <d v="2006-12-02T00:00:00"/>
    <x v="6"/>
    <x v="6"/>
    <x v="10"/>
    <x v="9"/>
    <s v="Game Development"/>
    <x v="1"/>
    <x v="0"/>
    <s v="10:00-11:00 AM"/>
    <s v="Ongoin"/>
    <x v="3"/>
    <x v="1"/>
    <x v="1"/>
  </r>
  <r>
    <s v="ADM0641"/>
    <x v="107"/>
    <s v="STU0641"/>
    <s v="Bhavik Donga"/>
    <d v="2006-11-07T00:00:00"/>
    <x v="1"/>
    <x v="1"/>
    <x v="11"/>
    <x v="4"/>
    <s v="Graphic Design"/>
    <x v="3"/>
    <x v="0"/>
    <s v="04:00-05:00 PM"/>
    <s v="Ongoin"/>
    <x v="3"/>
    <x v="1"/>
    <x v="1"/>
  </r>
  <r>
    <s v="ADM0642"/>
    <x v="108"/>
    <s v="STU0642"/>
    <s v="Jhanvi Gondaliya"/>
    <d v="2005-08-14T00:00:00"/>
    <x v="3"/>
    <x v="3"/>
    <x v="12"/>
    <x v="5"/>
    <s v="Graphic Design"/>
    <x v="4"/>
    <x v="0"/>
    <s v="09:00-10:00 AM"/>
    <s v="Ongoin"/>
    <x v="2"/>
    <x v="1"/>
    <x v="1"/>
  </r>
  <r>
    <s v="ADM0643"/>
    <x v="109"/>
    <s v="STU0643"/>
    <s v="Tirth Sakhiya"/>
    <d v="2006-12-02T00:00:00"/>
    <x v="7"/>
    <x v="7"/>
    <x v="13"/>
    <x v="6"/>
    <s v="Graphic Design"/>
    <x v="5"/>
    <x v="0"/>
    <s v="05:00- 06:00PM"/>
    <s v="Ongoin"/>
    <x v="3"/>
    <x v="1"/>
    <x v="1"/>
  </r>
  <r>
    <s v="ADM0644"/>
    <x v="110"/>
    <s v="STU0644"/>
    <s v="Mansi Taraviya"/>
    <d v="2006-11-07T00:00:00"/>
    <x v="1"/>
    <x v="1"/>
    <x v="1"/>
    <x v="7"/>
    <s v="UI/UX Design"/>
    <x v="1"/>
    <x v="0"/>
    <s v="03:00-04:00 PM"/>
    <s v="Ongoin"/>
    <x v="3"/>
    <x v="1"/>
    <x v="1"/>
  </r>
  <r>
    <s v="ADM0645"/>
    <x v="111"/>
    <s v="STU0645"/>
    <s v="Rehan Khan"/>
    <d v="2005-08-14T00:00:00"/>
    <x v="8"/>
    <x v="8"/>
    <x v="15"/>
    <x v="8"/>
    <s v="AI &amp; Data Science"/>
    <x v="1"/>
    <x v="0"/>
    <s v="09:00 - 10:00 AM"/>
    <s v="Ongoin"/>
    <x v="2"/>
    <x v="1"/>
    <x v="1"/>
  </r>
  <r>
    <s v="ADM0646"/>
    <x v="112"/>
    <s v="STU0646"/>
    <s v="Avni Kathiriya"/>
    <d v="2007-12-02T00:00:00"/>
    <x v="0"/>
    <x v="0"/>
    <x v="8"/>
    <x v="9"/>
    <s v="Game Development"/>
    <x v="1"/>
    <x v="0"/>
    <s v="03:00-04:00 PM"/>
    <s v="Ongoin"/>
    <x v="4"/>
    <x v="1"/>
    <x v="1"/>
  </r>
  <r>
    <s v="ADM0647"/>
    <x v="113"/>
    <s v="STU0647"/>
    <s v="Jay Padsara"/>
    <d v="2006-11-07T00:00:00"/>
    <x v="4"/>
    <x v="4"/>
    <x v="5"/>
    <x v="9"/>
    <s v="Game Development"/>
    <x v="1"/>
    <x v="0"/>
    <s v="06:00 - 07:00 PM"/>
    <s v="Ongoin"/>
    <x v="3"/>
    <x v="1"/>
    <x v="1"/>
  </r>
  <r>
    <s v="ADM0648"/>
    <x v="114"/>
    <s v="STU0648"/>
    <s v="Krisha Joshi"/>
    <d v="2005-08-14T00:00:00"/>
    <x v="6"/>
    <x v="6"/>
    <x v="10"/>
    <x v="4"/>
    <s v="Graphic Design"/>
    <x v="1"/>
    <x v="0"/>
    <s v="11:00-12:00  AM"/>
    <s v="Ongoin"/>
    <x v="2"/>
    <x v="1"/>
    <x v="1"/>
  </r>
  <r>
    <s v="ADM0649"/>
    <x v="115"/>
    <s v="STU0649"/>
    <s v="Rahil Gondaliya"/>
    <d v="2006-12-02T00:00:00"/>
    <x v="1"/>
    <x v="1"/>
    <x v="11"/>
    <x v="5"/>
    <s v="Graphic Design"/>
    <x v="1"/>
    <x v="0"/>
    <s v="10:00-11:00 AM"/>
    <s v="Ongoin"/>
    <x v="3"/>
    <x v="1"/>
    <x v="1"/>
  </r>
  <r>
    <s v="ADM0650"/>
    <x v="116"/>
    <s v="STU0650"/>
    <s v="Pinal Donga"/>
    <d v="2009-11-07T00:00:00"/>
    <x v="3"/>
    <x v="3"/>
    <x v="12"/>
    <x v="6"/>
    <s v="Graphic Design"/>
    <x v="4"/>
    <x v="0"/>
    <s v="04:00-05:00 PM"/>
    <s v="Ongoin"/>
    <x v="1"/>
    <x v="1"/>
    <x v="1"/>
  </r>
  <r>
    <s v="ADM0651"/>
    <x v="117"/>
    <s v="STU0651"/>
    <s v="Devanshi Sakhiya"/>
    <d v="2005-08-14T00:00:00"/>
    <x v="7"/>
    <x v="7"/>
    <x v="13"/>
    <x v="7"/>
    <s v="UI/UX Design"/>
    <x v="5"/>
    <x v="0"/>
    <s v="09:00-10:00 AM"/>
    <s v="Ongoin"/>
    <x v="2"/>
    <x v="1"/>
    <x v="1"/>
  </r>
  <r>
    <s v="ADM0652"/>
    <x v="118"/>
    <s v="STU0652"/>
    <s v="Aariz Khan"/>
    <d v="2006-12-02T00:00:00"/>
    <x v="1"/>
    <x v="1"/>
    <x v="1"/>
    <x v="8"/>
    <s v="AI &amp; Data Science"/>
    <x v="1"/>
    <x v="0"/>
    <s v="05:00- 06:00PM"/>
    <s v="Ongoin"/>
    <x v="3"/>
    <x v="1"/>
    <x v="1"/>
  </r>
  <r>
    <s v="ADM0653"/>
    <x v="119"/>
    <s v="STU0653"/>
    <s v="Jensi Skhakiya"/>
    <d v="2006-11-07T00:00:00"/>
    <x v="8"/>
    <x v="8"/>
    <x v="15"/>
    <x v="9"/>
    <s v="Game Development"/>
    <x v="3"/>
    <x v="0"/>
    <s v="03:00-04:00 PM"/>
    <s v="Ongoin"/>
    <x v="3"/>
    <x v="1"/>
    <x v="1"/>
  </r>
  <r>
    <s v="ADM0654"/>
    <x v="120"/>
    <s v="STU0654"/>
    <s v="Arman Padsara"/>
    <d v="2008-08-14T00:00:00"/>
    <x v="0"/>
    <x v="0"/>
    <x v="8"/>
    <x v="9"/>
    <s v="Game Development"/>
    <x v="4"/>
    <x v="0"/>
    <s v="09:00 - 10:00 AM"/>
    <s v="Ongoin"/>
    <x v="4"/>
    <x v="1"/>
    <x v="1"/>
  </r>
  <r>
    <s v="ADM0655"/>
    <x v="121"/>
    <s v="STU0655"/>
    <s v="Hetvi Sakhiya"/>
    <d v="2006-12-02T00:00:00"/>
    <x v="4"/>
    <x v="4"/>
    <x v="5"/>
    <x v="4"/>
    <s v="Graphic Design"/>
    <x v="5"/>
    <x v="0"/>
    <s v="03:00-04:00 PM"/>
    <s v="Ongoin"/>
    <x v="3"/>
    <x v="1"/>
    <x v="1"/>
  </r>
  <r>
    <s v="ADM0291"/>
    <x v="122"/>
    <s v="STU0291"/>
    <s v="Kavita Bhadarka"/>
    <d v="2005-01-26T00:00:00"/>
    <x v="3"/>
    <x v="3"/>
    <x v="14"/>
    <x v="1"/>
    <s v="Programming"/>
    <x v="5"/>
    <x v="1"/>
    <s v="03:00-04:00 PM"/>
    <s v="Ongoin"/>
    <x v="2"/>
    <x v="2"/>
    <x v="0"/>
  </r>
  <r>
    <s v="ADM0292"/>
    <x v="123"/>
    <s v="STU0292"/>
    <s v="Pravin Bhalani"/>
    <d v="2004-06-03T00:00:00"/>
    <x v="7"/>
    <x v="7"/>
    <x v="13"/>
    <x v="2"/>
    <s v="Design"/>
    <x v="6"/>
    <x v="1"/>
    <s v="06:00 - 07:00 PM"/>
    <s v="Ongoin"/>
    <x v="0"/>
    <x v="2"/>
    <x v="0"/>
  </r>
  <r>
    <s v="ADM0293"/>
    <x v="124"/>
    <s v="STU0293"/>
    <s v="Manisha Kankot"/>
    <d v="2005-09-18T00:00:00"/>
    <x v="3"/>
    <x v="3"/>
    <x v="14"/>
    <x v="3"/>
    <s v="Design &amp; Video Editing"/>
    <x v="7"/>
    <x v="1"/>
    <s v="11:00-12:00  AM"/>
    <s v="Ongoin"/>
    <x v="2"/>
    <x v="2"/>
    <x v="0"/>
  </r>
  <r>
    <s v="ADM0294"/>
    <x v="125"/>
    <s v="STU0294"/>
    <s v="Sandeep Khandhediya"/>
    <d v="2007-12-11T00:00:00"/>
    <x v="0"/>
    <x v="0"/>
    <x v="0"/>
    <x v="4"/>
    <s v="Graphic Design"/>
    <x v="0"/>
    <x v="1"/>
    <s v="10:00-11:00 AM"/>
    <s v="Ongoin"/>
    <x v="4"/>
    <x v="2"/>
    <x v="0"/>
  </r>
  <r>
    <s v="ADM0295"/>
    <x v="126"/>
    <s v="STU0295"/>
    <s v="Jyoti Gajipara"/>
    <d v="2005-04-25T00:00:00"/>
    <x v="1"/>
    <x v="1"/>
    <x v="1"/>
    <x v="5"/>
    <s v="Graphic Design"/>
    <x v="1"/>
    <x v="1"/>
    <s v="09:00 - 10:00 AM"/>
    <s v="Ongoin"/>
    <x v="2"/>
    <x v="2"/>
    <x v="0"/>
  </r>
  <r>
    <s v="ADM0296"/>
    <x v="127"/>
    <s v="STU0296"/>
    <s v="Ashish Kothiya"/>
    <d v="2004-07-06T00:00:00"/>
    <x v="2"/>
    <x v="2"/>
    <x v="2"/>
    <x v="6"/>
    <s v="Graphic Design"/>
    <x v="2"/>
    <x v="1"/>
    <s v="03:00-04:00 PM"/>
    <s v="Ongoin"/>
    <x v="0"/>
    <x v="2"/>
    <x v="0"/>
  </r>
  <r>
    <s v="ADM0297"/>
    <x v="128"/>
    <s v="STU0297"/>
    <s v="Poonam Sondarva"/>
    <d v="2005-02-20T00:00:00"/>
    <x v="3"/>
    <x v="3"/>
    <x v="3"/>
    <x v="7"/>
    <s v="UI/UX Design"/>
    <x v="3"/>
    <x v="1"/>
    <s v="06:00 - 07:00 PM"/>
    <s v="Ongoin"/>
    <x v="2"/>
    <x v="2"/>
    <x v="0"/>
  </r>
  <r>
    <s v="ADM0298"/>
    <x v="129"/>
    <s v="STU0298"/>
    <s v="Naveen Dalsaniya"/>
    <d v="2004-10-29T00:00:00"/>
    <x v="0"/>
    <x v="0"/>
    <x v="4"/>
    <x v="8"/>
    <s v="AI &amp; Data Science"/>
    <x v="4"/>
    <x v="1"/>
    <s v="11:00-12:00  AM"/>
    <s v="Ongoin"/>
    <x v="2"/>
    <x v="2"/>
    <x v="0"/>
  </r>
  <r>
    <s v="ADM0299"/>
    <x v="130"/>
    <s v="STU0299"/>
    <s v="Renu Dhadhal"/>
    <d v="2005-05-13T00:00:00"/>
    <x v="4"/>
    <x v="4"/>
    <x v="5"/>
    <x v="9"/>
    <s v="Game Development"/>
    <x v="5"/>
    <x v="1"/>
    <s v="10:00-11:00 AM"/>
    <s v="Ongoin"/>
    <x v="2"/>
    <x v="2"/>
    <x v="0"/>
  </r>
  <r>
    <s v="ADM0300"/>
    <x v="131"/>
    <s v="STU0300"/>
    <s v="Vijay Karmur"/>
    <d v="2004-03-01T00:00:00"/>
    <x v="3"/>
    <x v="3"/>
    <x v="6"/>
    <x v="0"/>
    <s v="Cyber Security"/>
    <x v="6"/>
    <x v="1"/>
    <s v="04:00-05:00 PM"/>
    <s v="Ongoin"/>
    <x v="0"/>
    <x v="2"/>
    <x v="0"/>
  </r>
  <r>
    <s v="ADM0301"/>
    <x v="132"/>
    <s v="STU0301"/>
    <s v="Swara Khunt"/>
    <d v="2005-08-22T00:00:00"/>
    <x v="5"/>
    <x v="5"/>
    <x v="7"/>
    <x v="1"/>
    <s v="Programming"/>
    <x v="7"/>
    <x v="1"/>
    <s v="09:00-10:00 AM"/>
    <s v="Ongoin"/>
    <x v="2"/>
    <x v="2"/>
    <x v="0"/>
  </r>
  <r>
    <s v="ADM0302"/>
    <x v="133"/>
    <s v="STU0302"/>
    <s v="Nitin Vachhani"/>
    <d v="2008-11-16T00:00:00"/>
    <x v="0"/>
    <x v="0"/>
    <x v="8"/>
    <x v="2"/>
    <s v="Design"/>
    <x v="0"/>
    <x v="1"/>
    <s v="05:00- 06:00PM"/>
    <s v="Ongoin"/>
    <x v="6"/>
    <x v="2"/>
    <x v="0"/>
  </r>
  <r>
    <s v="ADM0303"/>
    <x v="134"/>
    <s v="STU0303"/>
    <s v="Rachita Boricha"/>
    <d v="2005-06-07T00:00:00"/>
    <x v="3"/>
    <x v="3"/>
    <x v="9"/>
    <x v="3"/>
    <s v="Design &amp; Video Editing"/>
    <x v="1"/>
    <x v="1"/>
    <s v="09:00 - 10:00 AM"/>
    <s v="Ongoin"/>
    <x v="2"/>
    <x v="2"/>
    <x v="0"/>
  </r>
  <r>
    <s v="ADM0304"/>
    <x v="135"/>
    <s v="STU0304"/>
    <s v="Arpit Dholariya"/>
    <d v="2004-01-30T00:00:00"/>
    <x v="6"/>
    <x v="6"/>
    <x v="10"/>
    <x v="4"/>
    <s v="Graphic Design"/>
    <x v="2"/>
    <x v="1"/>
    <s v="03:00-04:00 PM"/>
    <s v="Ongoin"/>
    <x v="0"/>
    <x v="2"/>
    <x v="0"/>
  </r>
  <r>
    <s v="ADM0305"/>
    <x v="136"/>
    <s v="STU0305"/>
    <s v="Shweta Jivani"/>
    <d v="2005-10-19T00:00:00"/>
    <x v="1"/>
    <x v="1"/>
    <x v="11"/>
    <x v="5"/>
    <s v="Graphic Design"/>
    <x v="3"/>
    <x v="1"/>
    <s v="06:00 - 07:00 PM"/>
    <s v="Ongoin"/>
    <x v="5"/>
    <x v="2"/>
    <x v="0"/>
  </r>
  <r>
    <s v="ADM0306"/>
    <x v="137"/>
    <s v="STU0306"/>
    <s v="Deepa Mavani"/>
    <d v="2004-04-04T00:00:00"/>
    <x v="3"/>
    <x v="3"/>
    <x v="12"/>
    <x v="6"/>
    <s v="Graphic Design"/>
    <x v="4"/>
    <x v="1"/>
    <s v="11:00-12:00  AM"/>
    <s v="Ongoin"/>
    <x v="0"/>
    <x v="2"/>
    <x v="0"/>
  </r>
  <r>
    <s v="ADM0307"/>
    <x v="138"/>
    <s v="STU0307"/>
    <s v="Suresh Ramani"/>
    <d v="2005-07-27T00:00:00"/>
    <x v="7"/>
    <x v="7"/>
    <x v="13"/>
    <x v="7"/>
    <s v="UI/UX Design"/>
    <x v="5"/>
    <x v="1"/>
    <s v="10:00-11:00 AM"/>
    <s v="Ongoin"/>
    <x v="2"/>
    <x v="2"/>
    <x v="0"/>
  </r>
  <r>
    <s v="ADM0308"/>
    <x v="139"/>
    <s v="STU0308"/>
    <s v="Alok Vekariya"/>
    <d v="2004-09-12T00:00:00"/>
    <x v="3"/>
    <x v="3"/>
    <x v="14"/>
    <x v="8"/>
    <s v="AI &amp; Data Science"/>
    <x v="6"/>
    <x v="1"/>
    <s v="04:00-05:00 PM"/>
    <s v="Ongoin"/>
    <x v="0"/>
    <x v="2"/>
    <x v="0"/>
  </r>
  <r>
    <s v="ADM0309"/>
    <x v="140"/>
    <s v="STU0309"/>
    <s v="Payal Savani"/>
    <d v="2008-12-23T00:00:00"/>
    <x v="0"/>
    <x v="0"/>
    <x v="0"/>
    <x v="9"/>
    <s v="Game Development"/>
    <x v="7"/>
    <x v="1"/>
    <s v="09:00-10:00 AM"/>
    <s v="Ongoin"/>
    <x v="6"/>
    <x v="2"/>
    <x v="0"/>
  </r>
  <r>
    <s v="ADM0310"/>
    <x v="141"/>
    <s v="STU0310"/>
    <s v="Gautam Keshwala"/>
    <d v="2004-05-08T00:00:00"/>
    <x v="1"/>
    <x v="1"/>
    <x v="1"/>
    <x v="0"/>
    <s v="Cyber Security"/>
    <x v="0"/>
    <x v="1"/>
    <s v="05:00- 06:00PM"/>
    <s v="Ongoin"/>
    <x v="0"/>
    <x v="2"/>
    <x v="0"/>
  </r>
  <r>
    <s v="ADM0311"/>
    <x v="142"/>
    <s v="STU0311"/>
    <s v="Preeti Ghelani"/>
    <d v="2008-08-15T00:00:00"/>
    <x v="2"/>
    <x v="2"/>
    <x v="2"/>
    <x v="1"/>
    <s v="Programming"/>
    <x v="1"/>
    <x v="1"/>
    <s v="09:00 - 10:00 AM"/>
    <s v="Ongoin"/>
    <x v="4"/>
    <x v="2"/>
    <x v="0"/>
  </r>
  <r>
    <s v="ADM0312"/>
    <x v="143"/>
    <s v="STU0312"/>
    <s v="Sachin Khorani"/>
    <d v="2004-10-31T00:00:00"/>
    <x v="3"/>
    <x v="3"/>
    <x v="3"/>
    <x v="2"/>
    <s v="Design"/>
    <x v="2"/>
    <x v="1"/>
    <s v="03:00-04:00 PM"/>
    <s v="Ongoin"/>
    <x v="2"/>
    <x v="2"/>
    <x v="0"/>
  </r>
  <r>
    <s v="ADM0313"/>
    <x v="144"/>
    <s v="STU0313"/>
    <s v="Anita Padhiyar"/>
    <d v="2005-06-02T00:00:00"/>
    <x v="0"/>
    <x v="0"/>
    <x v="4"/>
    <x v="3"/>
    <s v="Design &amp; Video Editing"/>
    <x v="3"/>
    <x v="1"/>
    <s v="06:00 - 07:00 PM"/>
    <s v="Ongoin"/>
    <x v="2"/>
    <x v="2"/>
    <x v="0"/>
  </r>
  <r>
    <s v="ADM0314"/>
    <x v="145"/>
    <s v="STU0314"/>
    <s v="Vimal Virda"/>
    <d v="2004-03-20T00:00:00"/>
    <x v="4"/>
    <x v="4"/>
    <x v="5"/>
    <x v="4"/>
    <s v="Graphic Design"/>
    <x v="4"/>
    <x v="1"/>
    <s v="11:00-12:00  AM"/>
    <s v="Ongoin"/>
    <x v="0"/>
    <x v="2"/>
    <x v="0"/>
  </r>
  <r>
    <s v="ADM0315"/>
    <x v="146"/>
    <s v="STU0315"/>
    <s v="Divya Chotaliya"/>
    <d v="2005-11-11T00:00:00"/>
    <x v="3"/>
    <x v="3"/>
    <x v="6"/>
    <x v="5"/>
    <s v="Graphic Design"/>
    <x v="5"/>
    <x v="1"/>
    <s v="10:00-11:00 AM"/>
    <s v="Ongoin"/>
    <x v="5"/>
    <x v="2"/>
    <x v="0"/>
  </r>
  <r>
    <s v="ADM0316"/>
    <x v="147"/>
    <s v="STU0316"/>
    <s v="Rohini Kachot"/>
    <d v="2004-12-26T00:00:00"/>
    <x v="5"/>
    <x v="5"/>
    <x v="7"/>
    <x v="6"/>
    <s v="Graphic Design"/>
    <x v="6"/>
    <x v="1"/>
    <s v="09:00 - 10:00 AM"/>
    <s v="Ongoin"/>
    <x v="2"/>
    <x v="2"/>
    <x v="0"/>
  </r>
  <r>
    <s v="ADM0317"/>
    <x v="148"/>
    <s v="STU0317"/>
    <s v="Hemant Vaghasiya"/>
    <d v="2004-01-06T00:00:00"/>
    <x v="0"/>
    <x v="0"/>
    <x v="8"/>
    <x v="7"/>
    <s v="UI/UX Design"/>
    <x v="7"/>
    <x v="1"/>
    <s v="03:00-04:00 PM"/>
    <s v="Ongoin"/>
    <x v="0"/>
    <x v="2"/>
    <x v="0"/>
  </r>
  <r>
    <s v="ADM0318"/>
    <x v="149"/>
    <s v="STU0318"/>
    <s v="Smita Pansuriya"/>
    <d v="2008-04-21T00:00:00"/>
    <x v="3"/>
    <x v="3"/>
    <x v="9"/>
    <x v="8"/>
    <s v="AI &amp; Data Science"/>
    <x v="0"/>
    <x v="1"/>
    <s v="06:00 - 07:00 PM"/>
    <s v="Ongoin"/>
    <x v="4"/>
    <x v="2"/>
    <x v="0"/>
  </r>
  <r>
    <s v="ADM0319"/>
    <x v="150"/>
    <s v="STU0319"/>
    <s v="Yogesh Lathiya"/>
    <d v="2006-06-13T00:00:00"/>
    <x v="6"/>
    <x v="6"/>
    <x v="10"/>
    <x v="9"/>
    <s v="Game Development"/>
    <x v="1"/>
    <x v="1"/>
    <s v="11:00-12:00  AM"/>
    <s v="Ongoin"/>
    <x v="5"/>
    <x v="2"/>
    <x v="0"/>
  </r>
  <r>
    <s v="ADM0320"/>
    <x v="151"/>
    <s v="STU0320"/>
    <s v="Neelam Jethwa"/>
    <d v="2006-01-29T00:00:00"/>
    <x v="1"/>
    <x v="1"/>
    <x v="11"/>
    <x v="0"/>
    <s v="Cyber Security"/>
    <x v="2"/>
    <x v="1"/>
    <s v="10:00-11:00 AM"/>
    <s v="Ongoin"/>
    <x v="5"/>
    <x v="2"/>
    <x v="0"/>
  </r>
  <r>
    <s v="ADM0107"/>
    <x v="152"/>
    <s v="STU0107"/>
    <s v="Tanmay Chovatiya"/>
    <d v="2005-04-01T00:00:00"/>
    <x v="4"/>
    <x v="4"/>
    <x v="5"/>
    <x v="7"/>
    <s v="UI/UX Design"/>
    <x v="5"/>
    <x v="0"/>
    <s v="03:00-04:00 PM"/>
    <s v="Ongoin"/>
    <x v="2"/>
    <x v="3"/>
    <x v="0"/>
  </r>
  <r>
    <s v="ADM0108"/>
    <x v="153"/>
    <s v="STU0108"/>
    <s v="Riya Bhut"/>
    <d v="2004-07-09T00:00:00"/>
    <x v="3"/>
    <x v="3"/>
    <x v="6"/>
    <x v="8"/>
    <s v="AI &amp; Data Science"/>
    <x v="6"/>
    <x v="0"/>
    <s v="06:00 - 07:00 PM"/>
    <s v="Ongoin"/>
    <x v="0"/>
    <x v="3"/>
    <x v="0"/>
  </r>
  <r>
    <s v="ADM0109"/>
    <x v="154"/>
    <s v="STU0109"/>
    <s v="Kairav Khachar"/>
    <d v="2005-10-24T00:00:00"/>
    <x v="5"/>
    <x v="5"/>
    <x v="7"/>
    <x v="9"/>
    <s v="Game Development"/>
    <x v="7"/>
    <x v="0"/>
    <s v="11:00-12:00  AM"/>
    <s v="Ongoin"/>
    <x v="5"/>
    <x v="3"/>
    <x v="0"/>
  </r>
  <r>
    <s v="ADM0110"/>
    <x v="155"/>
    <s v="STU0110"/>
    <s v="Anvi Kachot"/>
    <d v="2004-03-06T00:00:00"/>
    <x v="0"/>
    <x v="0"/>
    <x v="8"/>
    <x v="0"/>
    <s v="Cyber Security"/>
    <x v="0"/>
    <x v="0"/>
    <s v="10:00-11:00 AM"/>
    <s v="Ongoin"/>
    <x v="0"/>
    <x v="3"/>
    <x v="0"/>
  </r>
  <r>
    <s v="ADM0111"/>
    <x v="156"/>
    <s v="STU0111"/>
    <s v="Mishka Karkar"/>
    <d v="2005-12-18T00:00:00"/>
    <x v="3"/>
    <x v="3"/>
    <x v="9"/>
    <x v="1"/>
    <s v="Programming"/>
    <x v="1"/>
    <x v="0"/>
    <s v="04:00-05:00 PM"/>
    <s v="Ongoin"/>
    <x v="5"/>
    <x v="3"/>
    <x v="0"/>
  </r>
  <r>
    <s v="ADM0112"/>
    <x v="157"/>
    <s v="STU0112"/>
    <s v="Shivansh Vaghasiya"/>
    <d v="2004-05-12T00:00:00"/>
    <x v="6"/>
    <x v="6"/>
    <x v="10"/>
    <x v="2"/>
    <s v="Design"/>
    <x v="2"/>
    <x v="0"/>
    <s v="09:00-10:00 AM"/>
    <s v="Ongoin"/>
    <x v="0"/>
    <x v="3"/>
    <x v="0"/>
  </r>
  <r>
    <s v="ADM0113"/>
    <x v="158"/>
    <s v="STU0113"/>
    <s v="Aaradhya Pansuriya"/>
    <d v="2005-02-27T00:00:00"/>
    <x v="1"/>
    <x v="1"/>
    <x v="11"/>
    <x v="3"/>
    <s v="Design &amp; Video Editing"/>
    <x v="3"/>
    <x v="0"/>
    <s v="05:00- 06:00PM"/>
    <s v="Ongoin"/>
    <x v="2"/>
    <x v="3"/>
    <x v="0"/>
  </r>
  <r>
    <s v="ADM0114"/>
    <x v="159"/>
    <s v="STU0114"/>
    <s v="Rishabh Lathiya"/>
    <d v="2009-08-31T00:00:00"/>
    <x v="3"/>
    <x v="3"/>
    <x v="12"/>
    <x v="4"/>
    <s v="Graphic Design"/>
    <x v="4"/>
    <x v="0"/>
    <s v="09:00 - 10:00 AM"/>
    <s v="Ongoin"/>
    <x v="6"/>
    <x v="3"/>
    <x v="0"/>
  </r>
  <r>
    <s v="ADM0115"/>
    <x v="160"/>
    <s v="STU0115"/>
    <s v="Vihana Jethwa"/>
    <d v="2008-06-14T00:00:00"/>
    <x v="7"/>
    <x v="7"/>
    <x v="13"/>
    <x v="5"/>
    <s v="Graphic Design"/>
    <x v="5"/>
    <x v="0"/>
    <s v="03:00-04:00 PM"/>
    <s v="Ongoin"/>
    <x v="4"/>
    <x v="3"/>
    <x v="0"/>
  </r>
  <r>
    <s v="ADM0116"/>
    <x v="161"/>
    <s v="STU0116"/>
    <s v="Devit Dhanani"/>
    <d v="2004-10-03T00:00:00"/>
    <x v="3"/>
    <x v="3"/>
    <x v="14"/>
    <x v="6"/>
    <s v="Graphic Design"/>
    <x v="6"/>
    <x v="0"/>
    <s v="06:00 - 07:00 PM"/>
    <s v="Ongoin"/>
    <x v="0"/>
    <x v="3"/>
    <x v="0"/>
  </r>
  <r>
    <s v="ADM0117"/>
    <x v="162"/>
    <s v="STU0117"/>
    <s v="Krishiv Kharva"/>
    <d v="2005-01-22T00:00:00"/>
    <x v="0"/>
    <x v="0"/>
    <x v="0"/>
    <x v="7"/>
    <s v="UI/UX Design"/>
    <x v="7"/>
    <x v="0"/>
    <s v="11:00-12:00  AM"/>
    <s v="Ongoin"/>
    <x v="2"/>
    <x v="3"/>
    <x v="0"/>
  </r>
  <r>
    <s v="ADM0118"/>
    <x v="163"/>
    <s v="STU0118"/>
    <s v="Ishan Gajera"/>
    <d v="2004-11-24T00:00:00"/>
    <x v="1"/>
    <x v="1"/>
    <x v="1"/>
    <x v="8"/>
    <s v="AI &amp; Data Science"/>
    <x v="0"/>
    <x v="0"/>
    <s v="10:00-11:00 AM"/>
    <s v="Ongoin"/>
    <x v="2"/>
    <x v="3"/>
    <x v="0"/>
  </r>
  <r>
    <s v="ADM0119"/>
    <x v="164"/>
    <s v="STU0119"/>
    <s v="Nitya Gadhiya"/>
    <d v="2004-01-16T00:00:00"/>
    <x v="2"/>
    <x v="2"/>
    <x v="2"/>
    <x v="9"/>
    <s v="Game Development"/>
    <x v="1"/>
    <x v="0"/>
    <s v="04:00-05:00 PM"/>
    <s v="Ongoin"/>
    <x v="0"/>
    <x v="3"/>
    <x v="0"/>
  </r>
  <r>
    <s v="ADM0120"/>
    <x v="165"/>
    <s v="STU0120"/>
    <s v="Aarini Chikani"/>
    <d v="2005-04-25T00:00:00"/>
    <x v="3"/>
    <x v="3"/>
    <x v="3"/>
    <x v="0"/>
    <s v="Cyber Security"/>
    <x v="2"/>
    <x v="0"/>
    <s v="09:00-10:00 AM"/>
    <s v="Ongoin"/>
    <x v="2"/>
    <x v="3"/>
    <x v="0"/>
  </r>
  <r>
    <s v="ADM0121"/>
    <x v="166"/>
    <s v="STU0121"/>
    <s v="Ronav Bhadarka"/>
    <d v="2004-06-08T00:00:00"/>
    <x v="0"/>
    <x v="0"/>
    <x v="4"/>
    <x v="1"/>
    <s v="Programming"/>
    <x v="3"/>
    <x v="0"/>
    <s v="05:00- 06:00PM"/>
    <s v="Ongoin"/>
    <x v="0"/>
    <x v="3"/>
    <x v="0"/>
  </r>
  <r>
    <s v="ADM0122"/>
    <x v="167"/>
    <s v="STU0122"/>
    <s v="Myra Bhalani"/>
    <d v="2005-02-19T00:00:00"/>
    <x v="4"/>
    <x v="4"/>
    <x v="5"/>
    <x v="2"/>
    <s v="Design"/>
    <x v="4"/>
    <x v="0"/>
    <s v="09:00 - 10:00 AM"/>
    <s v="Ongoin"/>
    <x v="2"/>
    <x v="3"/>
    <x v="0"/>
  </r>
  <r>
    <s v="ADM0123"/>
    <x v="168"/>
    <s v="STU0123"/>
    <s v="Shreyas Kankot"/>
    <d v="2004-03-27T00:00:00"/>
    <x v="3"/>
    <x v="3"/>
    <x v="6"/>
    <x v="3"/>
    <s v="Design &amp; Video Editing"/>
    <x v="5"/>
    <x v="0"/>
    <s v="03:00-04:00 PM"/>
    <s v="Ongoin"/>
    <x v="0"/>
    <x v="3"/>
    <x v="0"/>
  </r>
  <r>
    <s v="ADM0124"/>
    <x v="169"/>
    <s v="STU0124"/>
    <s v="Siddhi Khandhediya"/>
    <d v="2005-08-11T00:00:00"/>
    <x v="5"/>
    <x v="5"/>
    <x v="7"/>
    <x v="4"/>
    <s v="Graphic Design"/>
    <x v="6"/>
    <x v="0"/>
    <s v="06:00 - 07:00 PM"/>
    <s v="Ongoin"/>
    <x v="2"/>
    <x v="3"/>
    <x v="0"/>
  </r>
  <r>
    <s v="ADM0125"/>
    <x v="170"/>
    <s v="STU0125"/>
    <s v="Yuvraj Gajipara"/>
    <d v="2005-10-04T00:00:00"/>
    <x v="0"/>
    <x v="0"/>
    <x v="8"/>
    <x v="5"/>
    <s v="Graphic Design"/>
    <x v="7"/>
    <x v="0"/>
    <s v="11:00-12:00  AM"/>
    <s v="Ongoin"/>
    <x v="2"/>
    <x v="3"/>
    <x v="0"/>
  </r>
  <r>
    <s v="ADM0126"/>
    <x v="171"/>
    <s v="STU0126"/>
    <s v="Aayansh Kothiya"/>
    <d v="2008-05-22T00:00:00"/>
    <x v="3"/>
    <x v="3"/>
    <x v="9"/>
    <x v="6"/>
    <s v="Graphic Design"/>
    <x v="0"/>
    <x v="0"/>
    <s v="10:00-11:00 AM"/>
    <s v="Ongoin"/>
    <x v="4"/>
    <x v="3"/>
    <x v="0"/>
  </r>
  <r>
    <s v="ADM0127"/>
    <x v="172"/>
    <s v="STU0127"/>
    <s v="Dhvani Sondarva"/>
    <d v="2007-07-13T00:00:00"/>
    <x v="6"/>
    <x v="6"/>
    <x v="10"/>
    <x v="7"/>
    <s v="UI/UX Design"/>
    <x v="1"/>
    <x v="0"/>
    <s v="09:00 - 10:00 AM"/>
    <s v="Ongoin"/>
    <x v="3"/>
    <x v="3"/>
    <x v="0"/>
  </r>
  <r>
    <s v="ADM0128"/>
    <x v="173"/>
    <s v="STU0128"/>
    <s v="Ruhan Dalsaniya"/>
    <d v="2009-11-30T00:00:00"/>
    <x v="1"/>
    <x v="1"/>
    <x v="11"/>
    <x v="8"/>
    <s v="AI &amp; Data Science"/>
    <x v="2"/>
    <x v="0"/>
    <s v="03:00-04:00 PM"/>
    <s v="Ongoin"/>
    <x v="1"/>
    <x v="3"/>
    <x v="0"/>
  </r>
  <r>
    <s v="ADM0129"/>
    <x v="174"/>
    <s v="STU0129"/>
    <s v="Jashvi Dhadhal"/>
    <d v="2004-02-06T00:00:00"/>
    <x v="3"/>
    <x v="3"/>
    <x v="12"/>
    <x v="9"/>
    <s v="Game Development"/>
    <x v="3"/>
    <x v="0"/>
    <s v="06:00 - 07:00 PM"/>
    <s v="Ongoin"/>
    <x v="0"/>
    <x v="3"/>
    <x v="0"/>
  </r>
  <r>
    <s v="ADM0130"/>
    <x v="175"/>
    <s v="STU0130"/>
    <s v="Parishi Karmur"/>
    <d v="2005-09-17T00:00:00"/>
    <x v="7"/>
    <x v="7"/>
    <x v="13"/>
    <x v="0"/>
    <s v="Cyber Security"/>
    <x v="4"/>
    <x v="0"/>
    <s v="11:00-12:00  AM"/>
    <s v="Ongoin"/>
    <x v="2"/>
    <x v="3"/>
    <x v="0"/>
  </r>
  <r>
    <s v="ADM0131"/>
    <x v="176"/>
    <s v="STU0131"/>
    <s v="Vatsal Khunt"/>
    <d v="2004-12-24T00:00:00"/>
    <x v="3"/>
    <x v="3"/>
    <x v="14"/>
    <x v="1"/>
    <s v="Programming"/>
    <x v="5"/>
    <x v="0"/>
    <s v="10:00-11:00 AM"/>
    <s v="Ongoin"/>
    <x v="2"/>
    <x v="3"/>
    <x v="0"/>
  </r>
  <r>
    <s v="ADM0132"/>
    <x v="177"/>
    <s v="STU0132"/>
    <s v="Mishita Vachhani"/>
    <d v="2005-03-09T00:00:00"/>
    <x v="7"/>
    <x v="7"/>
    <x v="13"/>
    <x v="2"/>
    <s v="Design"/>
    <x v="6"/>
    <x v="0"/>
    <s v="04:00-05:00 PM"/>
    <s v="Ongoin"/>
    <x v="2"/>
    <x v="3"/>
    <x v="0"/>
  </r>
  <r>
    <s v="ADM0133"/>
    <x v="178"/>
    <s v="STU0133"/>
    <s v="Kiaan Boricha"/>
    <d v="2004-05-15T00:00:00"/>
    <x v="3"/>
    <x v="3"/>
    <x v="14"/>
    <x v="3"/>
    <s v="Design &amp; Video Editing"/>
    <x v="7"/>
    <x v="0"/>
    <s v="09:00-10:00 AM"/>
    <s v="Ongoin"/>
    <x v="0"/>
    <x v="3"/>
    <x v="0"/>
  </r>
  <r>
    <s v="ADM0134"/>
    <x v="179"/>
    <s v="STU0134"/>
    <s v="Anshul Dholariya"/>
    <d v="2005-08-28T00:00:00"/>
    <x v="0"/>
    <x v="0"/>
    <x v="0"/>
    <x v="4"/>
    <s v="Graphic Design"/>
    <x v="0"/>
    <x v="0"/>
    <s v="05:00- 06:00PM"/>
    <s v="Ongoin"/>
    <x v="2"/>
    <x v="3"/>
    <x v="0"/>
  </r>
  <r>
    <s v="ADM0135"/>
    <x v="180"/>
    <s v="STU0135"/>
    <s v="Nirvaan Jivani"/>
    <d v="2006-04-02T00:00:00"/>
    <x v="1"/>
    <x v="1"/>
    <x v="1"/>
    <x v="5"/>
    <s v="Graphic Design"/>
    <x v="1"/>
    <x v="0"/>
    <s v="09:00 - 10:00 AM"/>
    <s v="Ongoin"/>
    <x v="5"/>
    <x v="3"/>
    <x v="0"/>
  </r>
  <r>
    <s v="ADM0136"/>
    <x v="181"/>
    <s v="STU0136"/>
    <s v="Samaira Vaghani"/>
    <d v="2005-10-21T00:00:00"/>
    <x v="2"/>
    <x v="2"/>
    <x v="2"/>
    <x v="6"/>
    <s v="Graphic Design"/>
    <x v="2"/>
    <x v="0"/>
    <s v="03:00-04:00 PM"/>
    <s v="Ongoin"/>
    <x v="5"/>
    <x v="3"/>
    <x v="0"/>
  </r>
  <r>
    <s v="ADM0137"/>
    <x v="182"/>
    <s v="STU0137"/>
    <s v="Tanush Mavani"/>
    <d v="2004-06-12T00:00:00"/>
    <x v="3"/>
    <x v="3"/>
    <x v="3"/>
    <x v="7"/>
    <s v="UI/UX Design"/>
    <x v="3"/>
    <x v="0"/>
    <s v="06:00 - 07:00 PM"/>
    <s v="Ongoin"/>
    <x v="0"/>
    <x v="3"/>
    <x v="0"/>
  </r>
  <r>
    <s v="ADM0472"/>
    <x v="183"/>
    <s v="STU0472"/>
    <s v="Ishika Sondarva"/>
    <d v="2005-04-09T00:00:00"/>
    <x v="3"/>
    <x v="3"/>
    <x v="3"/>
    <x v="2"/>
    <s v="Design"/>
    <x v="2"/>
    <x v="1"/>
    <s v="03:00-04:00 PM"/>
    <s v="Ongoin"/>
    <x v="2"/>
    <x v="3"/>
    <x v="1"/>
  </r>
  <r>
    <s v="ADM0473"/>
    <x v="184"/>
    <s v="STU0473"/>
    <s v="Surshti Dave"/>
    <d v="2004-07-30T00:00:00"/>
    <x v="0"/>
    <x v="0"/>
    <x v="4"/>
    <x v="3"/>
    <s v="Design &amp; Video Editing"/>
    <x v="3"/>
    <x v="1"/>
    <s v="06:00 - 07:00 PM"/>
    <s v="Ongoin"/>
    <x v="0"/>
    <x v="3"/>
    <x v="1"/>
  </r>
  <r>
    <s v="ADM0474"/>
    <x v="185"/>
    <s v="STU0474"/>
    <s v="Sita Singhaniya"/>
    <d v="2005-02-16T00:00:00"/>
    <x v="4"/>
    <x v="4"/>
    <x v="5"/>
    <x v="4"/>
    <s v="Graphic Design"/>
    <x v="4"/>
    <x v="1"/>
    <s v="11:00-12:00  AM"/>
    <s v="Ongoin"/>
    <x v="2"/>
    <x v="3"/>
    <x v="1"/>
  </r>
  <r>
    <s v="ADM0475"/>
    <x v="186"/>
    <s v="STU0475"/>
    <s v="Fena Kareliya"/>
    <d v="2004-10-03T00:00:00"/>
    <x v="3"/>
    <x v="3"/>
    <x v="6"/>
    <x v="5"/>
    <s v="Graphic Design"/>
    <x v="5"/>
    <x v="1"/>
    <s v="10:00-11:00 AM"/>
    <s v="Ongoin"/>
    <x v="0"/>
    <x v="3"/>
    <x v="1"/>
  </r>
  <r>
    <s v="ADM0476"/>
    <x v="187"/>
    <s v="STU0476"/>
    <s v="Latiya Kapur"/>
    <d v="2009-01-25T00:00:00"/>
    <x v="5"/>
    <x v="5"/>
    <x v="7"/>
    <x v="6"/>
    <s v="Graphic Design"/>
    <x v="6"/>
    <x v="1"/>
    <s v="04:00-05:00 PM"/>
    <s v="Ongoin"/>
    <x v="6"/>
    <x v="3"/>
    <x v="1"/>
  </r>
  <r>
    <s v="ADM0477"/>
    <x v="188"/>
    <s v="STU0477"/>
    <s v="Student_Name"/>
    <d v="2004-06-11T00:00:00"/>
    <x v="0"/>
    <x v="0"/>
    <x v="8"/>
    <x v="7"/>
    <s v="UI/UX Design"/>
    <x v="7"/>
    <x v="1"/>
    <s v="09:00-10:00 AM"/>
    <s v="Ongoin"/>
    <x v="0"/>
    <x v="3"/>
    <x v="1"/>
  </r>
  <r>
    <s v="ADM0478"/>
    <x v="189"/>
    <s v="STU0478"/>
    <s v="Dhruv Gondaliya"/>
    <d v="2005-12-08T00:00:00"/>
    <x v="3"/>
    <x v="3"/>
    <x v="9"/>
    <x v="8"/>
    <s v="AI &amp; Data Science"/>
    <x v="0"/>
    <x v="0"/>
    <s v="05:00- 06:00PM"/>
    <s v="Ongoin"/>
    <x v="5"/>
    <x v="3"/>
    <x v="1"/>
  </r>
  <r>
    <s v="ADM0479"/>
    <x v="190"/>
    <s v="STU0479"/>
    <s v="Ayesha Khan"/>
    <d v="2004-04-22T00:00:00"/>
    <x v="6"/>
    <x v="6"/>
    <x v="10"/>
    <x v="9"/>
    <s v="Game Development"/>
    <x v="1"/>
    <x v="0"/>
    <s v="09:00 - 10:00 AM"/>
    <s v="Ongoin"/>
    <x v="0"/>
    <x v="3"/>
    <x v="1"/>
  </r>
  <r>
    <s v="ADM0480"/>
    <x v="191"/>
    <s v="STU0480"/>
    <s v="Krunal Taraviya"/>
    <d v="2008-05-17T00:00:00"/>
    <x v="1"/>
    <x v="1"/>
    <x v="11"/>
    <x v="0"/>
    <s v="Cyber Security"/>
    <x v="2"/>
    <x v="0"/>
    <s v="03:00-04:00 PM"/>
    <s v="Ongoin"/>
    <x v="4"/>
    <x v="3"/>
    <x v="1"/>
  </r>
  <r>
    <s v="ADM0481"/>
    <x v="192"/>
    <s v="STU0481"/>
    <s v="Maitri Joshi"/>
    <d v="2004-09-06T00:00:00"/>
    <x v="3"/>
    <x v="3"/>
    <x v="12"/>
    <x v="1"/>
    <s v="Programming"/>
    <x v="3"/>
    <x v="0"/>
    <s v="06:00 - 07:00 PM"/>
    <s v="Ongoin"/>
    <x v="0"/>
    <x v="3"/>
    <x v="1"/>
  </r>
  <r>
    <s v="ADM0482"/>
    <x v="193"/>
    <s v="STU0482"/>
    <s v="Soham Donga"/>
    <d v="2005-01-28T00:00:00"/>
    <x v="7"/>
    <x v="7"/>
    <x v="13"/>
    <x v="2"/>
    <s v="Design"/>
    <x v="4"/>
    <x v="1"/>
    <s v="11:00-12:00  AM"/>
    <s v="Ongoin"/>
    <x v="2"/>
    <x v="3"/>
    <x v="1"/>
  </r>
  <r>
    <s v="ADM0483"/>
    <x v="194"/>
    <s v="STU0483"/>
    <s v="Nirali Kathiriya"/>
    <d v="2004-03-13T00:00:00"/>
    <x v="3"/>
    <x v="3"/>
    <x v="14"/>
    <x v="3"/>
    <s v="Design &amp; Video Editing"/>
    <x v="5"/>
    <x v="0"/>
    <s v="10:00-11:00 AM"/>
    <s v="Ongoin"/>
    <x v="0"/>
    <x v="3"/>
    <x v="1"/>
  </r>
  <r>
    <s v="ADM0484"/>
    <x v="195"/>
    <s v="STU0484"/>
    <s v="Arman Padsara"/>
    <d v="2005-10-20T00:00:00"/>
    <x v="7"/>
    <x v="7"/>
    <x v="13"/>
    <x v="4"/>
    <s v="Graphic Design"/>
    <x v="6"/>
    <x v="0"/>
    <s v="09:00 - 10:00 AM"/>
    <s v="Ongoin"/>
    <x v="5"/>
    <x v="3"/>
    <x v="1"/>
  </r>
  <r>
    <s v="ADM0485"/>
    <x v="196"/>
    <s v="STU0485"/>
    <s v="Hetvi Sakhiya"/>
    <d v="2004-06-04T00:00:00"/>
    <x v="3"/>
    <x v="3"/>
    <x v="14"/>
    <x v="5"/>
    <s v="Graphic Design"/>
    <x v="7"/>
    <x v="0"/>
    <s v="03:00-04:00 PM"/>
    <s v="Ongoin"/>
    <x v="0"/>
    <x v="3"/>
    <x v="1"/>
  </r>
  <r>
    <s v="ADM0486"/>
    <x v="197"/>
    <s v="STU0486"/>
    <s v="Yug Joshi"/>
    <d v="2005-12-15T00:00:00"/>
    <x v="0"/>
    <x v="0"/>
    <x v="0"/>
    <x v="6"/>
    <s v="Graphic Design"/>
    <x v="0"/>
    <x v="0"/>
    <s v="06:00 - 07:00 PM"/>
    <s v="Ongoin"/>
    <x v="5"/>
    <x v="3"/>
    <x v="1"/>
  </r>
  <r>
    <s v="ADM0487"/>
    <x v="198"/>
    <s v="STU0487"/>
    <s v="Zain Khan"/>
    <d v="2004-02-27T00:00:00"/>
    <x v="1"/>
    <x v="1"/>
    <x v="1"/>
    <x v="7"/>
    <s v="UI/UX Design"/>
    <x v="1"/>
    <x v="1"/>
    <s v="11:00-12:00  AM"/>
    <s v="Ongoin"/>
    <x v="0"/>
    <x v="3"/>
    <x v="1"/>
  </r>
  <r>
    <s v="ADM0488"/>
    <x v="199"/>
    <s v="STU0488"/>
    <s v="Bhavik Donga"/>
    <d v="2006-08-09T00:00:00"/>
    <x v="2"/>
    <x v="2"/>
    <x v="2"/>
    <x v="8"/>
    <s v="AI &amp; Data Science"/>
    <x v="2"/>
    <x v="1"/>
    <s v="10:00-11:00 AM"/>
    <s v="Ongoin"/>
    <x v="5"/>
    <x v="3"/>
    <x v="1"/>
  </r>
  <r>
    <s v="ADM0489"/>
    <x v="200"/>
    <s v="STU0489"/>
    <s v="Jhanvi Gondaliya"/>
    <d v="2007-11-18T00:00:00"/>
    <x v="3"/>
    <x v="3"/>
    <x v="3"/>
    <x v="9"/>
    <s v="Game Development"/>
    <x v="3"/>
    <x v="1"/>
    <s v="04:00-05:00 PM"/>
    <s v="Ongoin"/>
    <x v="4"/>
    <x v="3"/>
    <x v="1"/>
  </r>
  <r>
    <s v="ADM0490"/>
    <x v="201"/>
    <s v="STU0490"/>
    <s v="Tirth Sakhiya"/>
    <d v="2005-05-01T00:00:00"/>
    <x v="0"/>
    <x v="0"/>
    <x v="4"/>
    <x v="0"/>
    <s v="Cyber Security"/>
    <x v="4"/>
    <x v="0"/>
    <s v="09:00-10:00 AM"/>
    <s v="Ongoin"/>
    <x v="2"/>
    <x v="3"/>
    <x v="1"/>
  </r>
  <r>
    <s v="ADM0491"/>
    <x v="202"/>
    <s v="STU0491"/>
    <s v="Mansi Taraviya"/>
    <d v="2004-07-23T00:00:00"/>
    <x v="4"/>
    <x v="4"/>
    <x v="5"/>
    <x v="1"/>
    <s v="Programming"/>
    <x v="5"/>
    <x v="0"/>
    <s v="05:00- 06:00PM"/>
    <s v="Ongoin"/>
    <x v="0"/>
    <x v="3"/>
    <x v="1"/>
  </r>
  <r>
    <s v="ADM0492"/>
    <x v="203"/>
    <s v="STU0492"/>
    <s v="Rehan Khan"/>
    <d v="2005-09-12T00:00:00"/>
    <x v="3"/>
    <x v="3"/>
    <x v="6"/>
    <x v="2"/>
    <s v="Design"/>
    <x v="6"/>
    <x v="1"/>
    <s v="09:00 - 10:00 AM"/>
    <s v="Ongoin"/>
    <x v="2"/>
    <x v="3"/>
    <x v="1"/>
  </r>
  <r>
    <s v="ADM0493"/>
    <x v="204"/>
    <s v="STU0493"/>
    <s v="Avni Kathiriya"/>
    <d v="2006-03-07T00:00:00"/>
    <x v="5"/>
    <x v="5"/>
    <x v="7"/>
    <x v="3"/>
    <s v="Design &amp; Video Editing"/>
    <x v="7"/>
    <x v="1"/>
    <s v="03:00-04:00 PM"/>
    <s v="Ongoin"/>
    <x v="5"/>
    <x v="3"/>
    <x v="1"/>
  </r>
  <r>
    <s v="ADM0494"/>
    <x v="205"/>
    <s v="STU0494"/>
    <s v="Jay Padsara"/>
    <d v="2005-10-26T00:00:00"/>
    <x v="0"/>
    <x v="0"/>
    <x v="8"/>
    <x v="4"/>
    <s v="Graphic Design"/>
    <x v="0"/>
    <x v="0"/>
    <s v="06:00 - 07:00 PM"/>
    <s v="Ongoin"/>
    <x v="5"/>
    <x v="3"/>
    <x v="1"/>
  </r>
  <r>
    <s v="ADM0495"/>
    <x v="206"/>
    <s v="STU0495"/>
    <s v="Krisha Joshi"/>
    <d v="2009-06-16T00:00:00"/>
    <x v="3"/>
    <x v="3"/>
    <x v="9"/>
    <x v="5"/>
    <s v="Graphic Design"/>
    <x v="1"/>
    <x v="0"/>
    <s v="11:00-12:00  AM"/>
    <s v="Ongoin"/>
    <x v="6"/>
    <x v="3"/>
    <x v="1"/>
  </r>
  <r>
    <s v="ADM0496"/>
    <x v="207"/>
    <s v="STU0496"/>
    <s v="Rahil Gondaliya"/>
    <d v="2005-01-05T00:00:00"/>
    <x v="6"/>
    <x v="6"/>
    <x v="10"/>
    <x v="6"/>
    <s v="Graphic Design"/>
    <x v="2"/>
    <x v="0"/>
    <s v="10:00-11:00 AM"/>
    <s v="Ongoin"/>
    <x v="2"/>
    <x v="3"/>
    <x v="1"/>
  </r>
  <r>
    <s v="ADM0497"/>
    <x v="208"/>
    <s v="STU0497"/>
    <s v="Pinal Donga"/>
    <d v="2002-04-29T00:00:00"/>
    <x v="1"/>
    <x v="1"/>
    <x v="11"/>
    <x v="7"/>
    <s v="UI/UX Design"/>
    <x v="3"/>
    <x v="0"/>
    <s v="04:00-05:00 PM"/>
    <s v="Ongoin"/>
    <x v="7"/>
    <x v="3"/>
    <x v="1"/>
  </r>
  <r>
    <s v="ADM0498"/>
    <x v="209"/>
    <s v="STU0498"/>
    <s v="Devanshi Sakhiya"/>
    <d v="2005-08-14T00:00:00"/>
    <x v="3"/>
    <x v="3"/>
    <x v="12"/>
    <x v="8"/>
    <s v="AI &amp; Data Science"/>
    <x v="4"/>
    <x v="0"/>
    <s v="09:00-10:00 AM"/>
    <s v="Ongoin"/>
    <x v="2"/>
    <x v="3"/>
    <x v="1"/>
  </r>
  <r>
    <s v="ADM0499"/>
    <x v="210"/>
    <s v="STU0499"/>
    <s v="Aariz Khan"/>
    <d v="2006-12-02T00:00:00"/>
    <x v="7"/>
    <x v="7"/>
    <x v="13"/>
    <x v="9"/>
    <s v="Game Development"/>
    <x v="5"/>
    <x v="0"/>
    <s v="05:00- 06:00PM"/>
    <s v="Ongoin"/>
    <x v="3"/>
    <x v="3"/>
    <x v="1"/>
  </r>
  <r>
    <s v="ADM0500"/>
    <x v="211"/>
    <s v="STU0500"/>
    <s v="Jensi Skhakiya"/>
    <d v="2006-11-07T00:00:00"/>
    <x v="1"/>
    <x v="1"/>
    <x v="1"/>
    <x v="9"/>
    <s v="Game Development"/>
    <x v="1"/>
    <x v="0"/>
    <s v="03:00-04:00 PM"/>
    <s v="Ongoin"/>
    <x v="3"/>
    <x v="3"/>
    <x v="1"/>
  </r>
  <r>
    <s v="ADM0501"/>
    <x v="212"/>
    <s v="STU0501"/>
    <s v="Arman Padsara"/>
    <d v="2007-08-14T00:00:00"/>
    <x v="8"/>
    <x v="8"/>
    <x v="15"/>
    <x v="4"/>
    <s v="Graphic Design"/>
    <x v="3"/>
    <x v="0"/>
    <s v="09:00 - 10:00 AM"/>
    <s v="Ongoin"/>
    <x v="3"/>
    <x v="3"/>
    <x v="1"/>
  </r>
  <r>
    <s v="ADM0502"/>
    <x v="213"/>
    <s v="STU0502"/>
    <s v="Hetvi Sakhiya"/>
    <d v="2009-12-02T00:00:00"/>
    <x v="0"/>
    <x v="0"/>
    <x v="8"/>
    <x v="5"/>
    <s v="Graphic Design"/>
    <x v="4"/>
    <x v="0"/>
    <s v="03:00-04:00 PM"/>
    <s v="Ongoin"/>
    <x v="1"/>
    <x v="3"/>
    <x v="1"/>
  </r>
  <r>
    <s v="ADM0046"/>
    <x v="214"/>
    <s v="STU0046"/>
    <s v="Falguni Tanna"/>
    <d v="2004-02-02T00:00:00"/>
    <x v="0"/>
    <x v="0"/>
    <x v="8"/>
    <x v="10"/>
    <s v="Artificial Intelligence"/>
    <x v="7"/>
    <x v="0"/>
    <s v="11:00-12:00  AM"/>
    <s v="Ongoin"/>
    <x v="0"/>
    <x v="4"/>
    <x v="0"/>
  </r>
  <r>
    <s v="ADM0047"/>
    <x v="215"/>
    <s v="STU0047"/>
    <s v="Ronak Lakhani"/>
    <d v="2005-09-25T00:00:00"/>
    <x v="3"/>
    <x v="3"/>
    <x v="9"/>
    <x v="11"/>
    <s v="Programming"/>
    <x v="7"/>
    <x v="1"/>
    <s v="10:00-11:00 AM"/>
    <s v="Ongoin"/>
    <x v="2"/>
    <x v="4"/>
    <x v="0"/>
  </r>
  <r>
    <s v="ADM0048"/>
    <x v="216"/>
    <s v="STU0048"/>
    <s v="Bhakti Doshi"/>
    <d v="2003-11-11T00:00:00"/>
    <x v="6"/>
    <x v="6"/>
    <x v="10"/>
    <x v="12"/>
    <s v="Data Science"/>
    <x v="7"/>
    <x v="0"/>
    <s v="04:00-05:00 PM"/>
    <s v="Ongoin"/>
    <x v="0"/>
    <x v="4"/>
    <x v="0"/>
  </r>
  <r>
    <s v="ADM0049"/>
    <x v="217"/>
    <s v="STU0049"/>
    <s v="Mihir Sanghvi"/>
    <d v="2005-01-08T00:00:00"/>
    <x v="1"/>
    <x v="1"/>
    <x v="11"/>
    <x v="13"/>
    <s v="Web Development"/>
    <x v="7"/>
    <x v="1"/>
    <s v="09:00-10:00 AM"/>
    <s v="Ongoin"/>
    <x v="2"/>
    <x v="4"/>
    <x v="0"/>
  </r>
  <r>
    <s v="ADM0050"/>
    <x v="218"/>
    <s v="STU0050"/>
    <s v="Aneri Kapadia"/>
    <d v="2009-05-30T00:00:00"/>
    <x v="3"/>
    <x v="3"/>
    <x v="12"/>
    <x v="8"/>
    <s v="Artificial Intelligence"/>
    <x v="7"/>
    <x v="1"/>
    <s v="05:00- 06:00PM"/>
    <s v="Ongoin"/>
    <x v="6"/>
    <x v="4"/>
    <x v="0"/>
  </r>
  <r>
    <s v="ADM0051"/>
    <x v="219"/>
    <s v="STU0051"/>
    <s v="Chirag Gandhi"/>
    <d v="2004-12-12T00:00:00"/>
    <x v="7"/>
    <x v="7"/>
    <x v="13"/>
    <x v="8"/>
    <s v="Artificial Intelligence"/>
    <x v="7"/>
    <x v="0"/>
    <s v="09:00 - 10:00 AM"/>
    <s v="Ongoin"/>
    <x v="2"/>
    <x v="4"/>
    <x v="0"/>
  </r>
  <r>
    <s v="ADM0052"/>
    <x v="220"/>
    <s v="STU0052"/>
    <s v="Srushti Jhaveri"/>
    <d v="2004-02-14T00:00:00"/>
    <x v="3"/>
    <x v="3"/>
    <x v="14"/>
    <x v="2"/>
    <s v="Design"/>
    <x v="7"/>
    <x v="0"/>
    <s v="03:00-04:00 PM"/>
    <s v="Ongoin"/>
    <x v="0"/>
    <x v="4"/>
    <x v="0"/>
  </r>
  <r>
    <s v="ADM0053"/>
    <x v="221"/>
    <s v="STU0053"/>
    <s v="Naitik Mistry"/>
    <d v="2005-07-23T00:00:00"/>
    <x v="0"/>
    <x v="0"/>
    <x v="0"/>
    <x v="3"/>
    <s v="Design &amp; Video Editing"/>
    <x v="7"/>
    <x v="0"/>
    <s v="06:00 - 07:00 PM"/>
    <s v="Ongoin"/>
    <x v="2"/>
    <x v="4"/>
    <x v="0"/>
  </r>
  <r>
    <s v="ADM0054"/>
    <x v="222"/>
    <s v="STU0054"/>
    <s v="Khyati Kothari"/>
    <d v="2004-11-08T00:00:00"/>
    <x v="1"/>
    <x v="1"/>
    <x v="1"/>
    <x v="4"/>
    <s v="Graphic Design"/>
    <x v="7"/>
    <x v="0"/>
    <s v="11:00-12:00  AM"/>
    <s v="Ongoin"/>
    <x v="2"/>
    <x v="4"/>
    <x v="0"/>
  </r>
  <r>
    <s v="ADM0055"/>
    <x v="223"/>
    <s v="STU0055"/>
    <s v="Rachit Sheth"/>
    <d v="2005-04-19T00:00:00"/>
    <x v="2"/>
    <x v="2"/>
    <x v="2"/>
    <x v="5"/>
    <s v="Graphic Design"/>
    <x v="7"/>
    <x v="0"/>
    <s v="10:00-11:00 AM"/>
    <s v="Ongoin"/>
    <x v="2"/>
    <x v="4"/>
    <x v="0"/>
  </r>
  <r>
    <s v="ADM0056"/>
    <x v="224"/>
    <s v="STU0056"/>
    <s v="Pranav Amin"/>
    <d v="2004-09-27T00:00:00"/>
    <x v="3"/>
    <x v="3"/>
    <x v="3"/>
    <x v="6"/>
    <s v="Graphic Design"/>
    <x v="7"/>
    <x v="0"/>
    <s v="04:00-05:00 PM"/>
    <s v="Ongoin"/>
    <x v="0"/>
    <x v="4"/>
    <x v="0"/>
  </r>
  <r>
    <s v="ADM0057"/>
    <x v="225"/>
    <s v="STU0057"/>
    <s v="Tisha Merchant"/>
    <d v="2005-01-05T00:00:00"/>
    <x v="0"/>
    <x v="0"/>
    <x v="4"/>
    <x v="7"/>
    <s v="UI/UX Design"/>
    <x v="7"/>
    <x v="0"/>
    <s v="09:00-10:00 AM"/>
    <s v="Ongoin"/>
    <x v="2"/>
    <x v="4"/>
    <x v="0"/>
  </r>
  <r>
    <s v="ADM0058"/>
    <x v="226"/>
    <s v="STU0058"/>
    <s v="Jaimin Contractor"/>
    <d v="2004-06-16T00:00:00"/>
    <x v="4"/>
    <x v="4"/>
    <x v="5"/>
    <x v="8"/>
    <s v="AI &amp; Data Science"/>
    <x v="7"/>
    <x v="0"/>
    <s v="05:00- 06:00PM"/>
    <s v="Ongoin"/>
    <x v="0"/>
    <x v="4"/>
    <x v="0"/>
  </r>
  <r>
    <s v="ADM0059"/>
    <x v="227"/>
    <s v="STU0059"/>
    <s v="Nisha Modi"/>
    <d v="2006-12-30T00:00:00"/>
    <x v="3"/>
    <x v="3"/>
    <x v="6"/>
    <x v="9"/>
    <s v="Game Development"/>
    <x v="7"/>
    <x v="0"/>
    <s v="09:00 - 10:00 AM"/>
    <s v="Ongoin"/>
    <x v="3"/>
    <x v="4"/>
    <x v="0"/>
  </r>
  <r>
    <s v="ADM0060"/>
    <x v="228"/>
    <s v="STU0060"/>
    <s v="Darshan Parekh"/>
    <d v="2004-03-11T00:00:00"/>
    <x v="5"/>
    <x v="5"/>
    <x v="7"/>
    <x v="0"/>
    <s v="Cyber Security"/>
    <x v="7"/>
    <x v="0"/>
    <s v="03:00-04:00 PM"/>
    <s v="Ongoin"/>
    <x v="0"/>
    <x v="4"/>
    <x v="0"/>
  </r>
  <r>
    <s v="ADM0061"/>
    <x v="229"/>
    <s v="STU0061"/>
    <s v="Komal Barot"/>
    <d v="2005-08-22T00:00:00"/>
    <x v="0"/>
    <x v="0"/>
    <x v="8"/>
    <x v="1"/>
    <s v="Programming"/>
    <x v="7"/>
    <x v="0"/>
    <s v="06:00 - 07:00 PM"/>
    <s v="Ongoin"/>
    <x v="2"/>
    <x v="4"/>
    <x v="0"/>
  </r>
  <r>
    <s v="ADM0062"/>
    <x v="230"/>
    <s v="STU0062"/>
    <s v="Yug Baxi"/>
    <d v="2004-05-09T00:00:00"/>
    <x v="3"/>
    <x v="3"/>
    <x v="9"/>
    <x v="2"/>
    <s v="Design"/>
    <x v="0"/>
    <x v="0"/>
    <s v="11:00-12:00  AM"/>
    <s v="Ongoin"/>
    <x v="0"/>
    <x v="4"/>
    <x v="0"/>
  </r>
  <r>
    <s v="ADM0063"/>
    <x v="231"/>
    <s v="STU0063"/>
    <s v="Hetvi Luhar"/>
    <d v="2005-10-17T00:00:00"/>
    <x v="6"/>
    <x v="6"/>
    <x v="10"/>
    <x v="3"/>
    <s v="Design &amp; Video Editing"/>
    <x v="1"/>
    <x v="0"/>
    <s v="10:00-11:00 AM"/>
    <s v="Ongoin"/>
    <x v="5"/>
    <x v="4"/>
    <x v="0"/>
  </r>
  <r>
    <s v="ADM0064"/>
    <x v="232"/>
    <s v="STU0064"/>
    <s v="Milan Kansara"/>
    <d v="2004-01-25T00:00:00"/>
    <x v="1"/>
    <x v="1"/>
    <x v="11"/>
    <x v="4"/>
    <s v="Graphic Design"/>
    <x v="2"/>
    <x v="0"/>
    <s v="09:00 - 10:00 AM"/>
    <s v="Ongoin"/>
    <x v="0"/>
    <x v="4"/>
    <x v="0"/>
  </r>
  <r>
    <s v="ADM0065"/>
    <x v="233"/>
    <s v="STU0065"/>
    <s v="Kajal Salvi"/>
    <d v="2005-07-06T00:00:00"/>
    <x v="3"/>
    <x v="3"/>
    <x v="12"/>
    <x v="5"/>
    <s v="Graphic Design"/>
    <x v="3"/>
    <x v="0"/>
    <s v="03:00-04:00 PM"/>
    <s v="Ongoin"/>
    <x v="2"/>
    <x v="4"/>
    <x v="0"/>
  </r>
  <r>
    <s v="ADM0066"/>
    <x v="234"/>
    <s v="STU0066"/>
    <s v="Ravina Suthar"/>
    <d v="2004-12-13T00:00:00"/>
    <x v="7"/>
    <x v="7"/>
    <x v="13"/>
    <x v="6"/>
    <s v="Graphic Design"/>
    <x v="4"/>
    <x v="0"/>
    <s v="06:00 - 07:00 PM"/>
    <s v="Ongoin"/>
    <x v="2"/>
    <x v="4"/>
    <x v="0"/>
  </r>
  <r>
    <s v="ADM0067"/>
    <x v="235"/>
    <s v="STU0067"/>
    <s v="Sanket Kumbhar"/>
    <d v="2008-03-28T00:00:00"/>
    <x v="3"/>
    <x v="3"/>
    <x v="14"/>
    <x v="7"/>
    <s v="UI/UX Design"/>
    <x v="5"/>
    <x v="0"/>
    <s v="11:00-12:00  AM"/>
    <s v="Ongoin"/>
    <x v="4"/>
    <x v="4"/>
    <x v="0"/>
  </r>
  <r>
    <s v="ADM0068"/>
    <x v="236"/>
    <s v="STU0068"/>
    <s v="Ami Choksi"/>
    <d v="2004-06-02T00:00:00"/>
    <x v="7"/>
    <x v="7"/>
    <x v="13"/>
    <x v="8"/>
    <s v="AI &amp; Data Science"/>
    <x v="6"/>
    <x v="0"/>
    <s v="10:00-11:00 AM"/>
    <s v="Ongoin"/>
    <x v="0"/>
    <x v="4"/>
    <x v="0"/>
  </r>
  <r>
    <s v="ADM0069"/>
    <x v="237"/>
    <s v="STU0069"/>
    <s v="Bhavin Bhimani"/>
    <d v="2005-11-21T00:00:00"/>
    <x v="3"/>
    <x v="3"/>
    <x v="14"/>
    <x v="9"/>
    <s v="Game Development"/>
    <x v="7"/>
    <x v="0"/>
    <s v="04:00-05:00 PM"/>
    <s v="Ongoin"/>
    <x v="5"/>
    <x v="4"/>
    <x v="0"/>
  </r>
  <r>
    <s v="ADM0070"/>
    <x v="238"/>
    <s v="STU0070"/>
    <s v="Jigar Gajjar"/>
    <d v="2004-08-15T00:00:00"/>
    <x v="0"/>
    <x v="0"/>
    <x v="0"/>
    <x v="0"/>
    <s v="Cyber Security"/>
    <x v="0"/>
    <x v="0"/>
    <s v="09:00-10:00 AM"/>
    <s v="Ongoin"/>
    <x v="0"/>
    <x v="4"/>
    <x v="0"/>
  </r>
  <r>
    <s v="ADM0071"/>
    <x v="239"/>
    <s v="STU0071"/>
    <s v="Rachna Lakhatar"/>
    <d v="2005-04-04T00:00:00"/>
    <x v="1"/>
    <x v="1"/>
    <x v="1"/>
    <x v="1"/>
    <s v="Programming"/>
    <x v="1"/>
    <x v="0"/>
    <s v="05:00- 06:00PM"/>
    <s v="Ongoin"/>
    <x v="2"/>
    <x v="4"/>
    <x v="0"/>
  </r>
  <r>
    <s v="ADM0072"/>
    <x v="240"/>
    <s v="STU0072"/>
    <s v="Nirmit Virani"/>
    <d v="2004-10-26T00:00:00"/>
    <x v="2"/>
    <x v="2"/>
    <x v="2"/>
    <x v="2"/>
    <s v="Design"/>
    <x v="1"/>
    <x v="0"/>
    <s v="09:00 - 10:00 AM"/>
    <s v="Ongoin"/>
    <x v="2"/>
    <x v="4"/>
    <x v="0"/>
  </r>
  <r>
    <s v="ADM0073"/>
    <x v="241"/>
    <s v="STU0073"/>
    <s v="Poojan Bhayani"/>
    <d v="2005-02-12T00:00:00"/>
    <x v="3"/>
    <x v="3"/>
    <x v="3"/>
    <x v="3"/>
    <s v="Design &amp; Video Editing"/>
    <x v="1"/>
    <x v="0"/>
    <s v="03:00-04:00 PM"/>
    <s v="Ongoin"/>
    <x v="2"/>
    <x v="4"/>
    <x v="0"/>
  </r>
  <r>
    <s v="ADM0074"/>
    <x v="242"/>
    <s v="STU0074"/>
    <s v="Sejal Kariya"/>
    <d v="2004-09-07T00:00:00"/>
    <x v="0"/>
    <x v="0"/>
    <x v="4"/>
    <x v="4"/>
    <s v="Graphic Design"/>
    <x v="1"/>
    <x v="0"/>
    <s v="06:00 - 07:00 PM"/>
    <s v="Ongoin"/>
    <x v="0"/>
    <x v="4"/>
    <x v="0"/>
  </r>
  <r>
    <s v="ADM0075"/>
    <x v="243"/>
    <s v="STU0075"/>
    <s v="Vraj Dholakia"/>
    <d v="2005-05-18T00:00:00"/>
    <x v="4"/>
    <x v="4"/>
    <x v="5"/>
    <x v="5"/>
    <s v="Graphic Design"/>
    <x v="1"/>
    <x v="0"/>
    <s v="11:00-12:00  AM"/>
    <s v="Ongoin"/>
    <x v="2"/>
    <x v="4"/>
    <x v="0"/>
  </r>
  <r>
    <s v="ADM0076"/>
    <x v="244"/>
    <s v="STU0076"/>
    <s v="Mansi Vekariya"/>
    <d v="2007-12-29T00:00:00"/>
    <x v="3"/>
    <x v="3"/>
    <x v="6"/>
    <x v="6"/>
    <s v="Graphic Design"/>
    <x v="1"/>
    <x v="0"/>
    <s v="10:00-11:00 AM"/>
    <s v="Ongoin"/>
    <x v="4"/>
    <x v="4"/>
    <x v="0"/>
  </r>
  <r>
    <s v="ADM0411"/>
    <x v="245"/>
    <s v="STU0411"/>
    <s v="Yashwant Mavani"/>
    <d v="2008-06-03T00:00:00"/>
    <x v="3"/>
    <x v="3"/>
    <x v="6"/>
    <x v="1"/>
    <s v="Programming"/>
    <x v="5"/>
    <x v="1"/>
    <s v="11:00-12:00  AM"/>
    <s v="Ongoin"/>
    <x v="4"/>
    <x v="4"/>
    <x v="1"/>
  </r>
  <r>
    <s v="ADM0412"/>
    <x v="246"/>
    <s v="STU0412"/>
    <s v="Anurag Ramani"/>
    <d v="2005-01-24T00:00:00"/>
    <x v="5"/>
    <x v="5"/>
    <x v="7"/>
    <x v="2"/>
    <s v="Design"/>
    <x v="6"/>
    <x v="1"/>
    <s v="10:00-11:00 AM"/>
    <s v="Ongoin"/>
    <x v="2"/>
    <x v="4"/>
    <x v="1"/>
  </r>
  <r>
    <s v="ADM0413"/>
    <x v="247"/>
    <s v="STU0413"/>
    <s v="Divyanshi Vekariya"/>
    <d v="2004-08-16T00:00:00"/>
    <x v="0"/>
    <x v="0"/>
    <x v="8"/>
    <x v="3"/>
    <s v="Design &amp; Video Editing"/>
    <x v="7"/>
    <x v="1"/>
    <s v="04:00-05:00 PM"/>
    <s v="Ongoin"/>
    <x v="0"/>
    <x v="4"/>
    <x v="1"/>
  </r>
  <r>
    <s v="ADM0414"/>
    <x v="248"/>
    <s v="STU0414"/>
    <s v="Naman Savani"/>
    <d v="2005-04-07T00:00:00"/>
    <x v="3"/>
    <x v="3"/>
    <x v="9"/>
    <x v="4"/>
    <s v="Graphic Design"/>
    <x v="0"/>
    <x v="1"/>
    <s v="09:00-10:00 AM"/>
    <s v="Ongoin"/>
    <x v="2"/>
    <x v="4"/>
    <x v="1"/>
  </r>
  <r>
    <s v="ADM0415"/>
    <x v="249"/>
    <s v="STU0415"/>
    <s v="Ishika Keshwala"/>
    <d v="2004-12-22T00:00:00"/>
    <x v="6"/>
    <x v="6"/>
    <x v="10"/>
    <x v="5"/>
    <s v="Graphic Design"/>
    <x v="1"/>
    <x v="1"/>
    <s v="05:00- 06:00PM"/>
    <s v="Ongoin"/>
    <x v="2"/>
    <x v="4"/>
    <x v="1"/>
  </r>
  <r>
    <s v="ADM0416"/>
    <x v="250"/>
    <s v="STU0416"/>
    <s v="Aarav Ghelani"/>
    <d v="2005-07-14T00:00:00"/>
    <x v="1"/>
    <x v="1"/>
    <x v="11"/>
    <x v="6"/>
    <s v="Graphic Design"/>
    <x v="2"/>
    <x v="1"/>
    <s v="09:00 - 10:00 AM"/>
    <s v="Ongoin"/>
    <x v="2"/>
    <x v="4"/>
    <x v="1"/>
  </r>
  <r>
    <s v="ADM0417"/>
    <x v="251"/>
    <s v="STU0417"/>
    <s v="Mehak Khorani"/>
    <d v="2004-10-05T00:00:00"/>
    <x v="3"/>
    <x v="3"/>
    <x v="12"/>
    <x v="7"/>
    <s v="UI/UX Design"/>
    <x v="3"/>
    <x v="1"/>
    <s v="03:00-04:00 PM"/>
    <s v="Ongoin"/>
    <x v="0"/>
    <x v="4"/>
    <x v="1"/>
  </r>
  <r>
    <s v="ADM0418"/>
    <x v="252"/>
    <s v="STU0418"/>
    <s v="Ishaan Padhiyar"/>
    <d v="2005-03-29T00:00:00"/>
    <x v="7"/>
    <x v="7"/>
    <x v="13"/>
    <x v="8"/>
    <s v="AI &amp; Data Science"/>
    <x v="4"/>
    <x v="1"/>
    <s v="06:00 - 07:00 PM"/>
    <s v="Ongoin"/>
    <x v="2"/>
    <x v="4"/>
    <x v="1"/>
  </r>
  <r>
    <s v="ADM0419"/>
    <x v="253"/>
    <s v="STU0419"/>
    <s v="Tanisha Virda"/>
    <d v="2004-05-18T00:00:00"/>
    <x v="3"/>
    <x v="3"/>
    <x v="14"/>
    <x v="9"/>
    <s v="Game Development"/>
    <x v="5"/>
    <x v="1"/>
    <s v="11:00-12:00  AM"/>
    <s v="Ongoin"/>
    <x v="0"/>
    <x v="4"/>
    <x v="1"/>
  </r>
  <r>
    <s v="ADM0420"/>
    <x v="254"/>
    <s v="STU0420"/>
    <s v="Raghav Chotaliya"/>
    <d v="2006-09-02T00:00:00"/>
    <x v="7"/>
    <x v="7"/>
    <x v="13"/>
    <x v="0"/>
    <s v="Cyber Security"/>
    <x v="6"/>
    <x v="1"/>
    <s v="10:00-11:00 AM"/>
    <s v="Ongoin"/>
    <x v="5"/>
    <x v="4"/>
    <x v="1"/>
  </r>
  <r>
    <s v="ADM0421"/>
    <x v="255"/>
    <s v="STU0421"/>
    <s v="Palak Kachot"/>
    <d v="2004-01-10T00:00:00"/>
    <x v="3"/>
    <x v="3"/>
    <x v="14"/>
    <x v="1"/>
    <s v="Programming"/>
    <x v="7"/>
    <x v="1"/>
    <s v="09:00 - 10:00 AM"/>
    <s v="Ongoin"/>
    <x v="0"/>
    <x v="4"/>
    <x v="1"/>
  </r>
  <r>
    <s v="ADM0422"/>
    <x v="256"/>
    <s v="STU0422"/>
    <s v="Anshuman Vaghasiya"/>
    <d v="2005-06-23T00:00:00"/>
    <x v="0"/>
    <x v="0"/>
    <x v="0"/>
    <x v="2"/>
    <s v="Design"/>
    <x v="0"/>
    <x v="1"/>
    <s v="03:00-04:00 PM"/>
    <s v="Ongoin"/>
    <x v="2"/>
    <x v="4"/>
    <x v="1"/>
  </r>
  <r>
    <s v="ADM0423"/>
    <x v="257"/>
    <s v="STU0423"/>
    <s v="Kritika Pansuriya"/>
    <d v="2004-07-31T00:00:00"/>
    <x v="1"/>
    <x v="1"/>
    <x v="1"/>
    <x v="3"/>
    <s v="Design &amp; Video Editing"/>
    <x v="1"/>
    <x v="1"/>
    <s v="06:00 - 07:00 PM"/>
    <s v="Ongoin"/>
    <x v="0"/>
    <x v="4"/>
    <x v="1"/>
  </r>
  <r>
    <s v="ADM0424"/>
    <x v="258"/>
    <s v="STU0424"/>
    <s v="Shivangi Lathiya"/>
    <d v="2005-11-12T00:00:00"/>
    <x v="2"/>
    <x v="2"/>
    <x v="2"/>
    <x v="4"/>
    <s v="Graphic Design"/>
    <x v="2"/>
    <x v="1"/>
    <s v="11:00-12:00  AM"/>
    <s v="Ongoin"/>
    <x v="5"/>
    <x v="4"/>
    <x v="1"/>
  </r>
  <r>
    <s v="ADM0425"/>
    <x v="259"/>
    <s v="STU0425"/>
    <s v="Abhinandan Jethwa"/>
    <d v="2004-05-06T00:00:00"/>
    <x v="3"/>
    <x v="3"/>
    <x v="3"/>
    <x v="5"/>
    <s v="Graphic Design"/>
    <x v="3"/>
    <x v="1"/>
    <s v="10:00-11:00 AM"/>
    <s v="Ongoin"/>
    <x v="0"/>
    <x v="4"/>
    <x v="1"/>
  </r>
  <r>
    <s v="ADM0426"/>
    <x v="260"/>
    <s v="STU0426"/>
    <s v="Ritika Dhanani"/>
    <d v="2005-08-27T00:00:00"/>
    <x v="0"/>
    <x v="0"/>
    <x v="4"/>
    <x v="6"/>
    <s v="Graphic Design"/>
    <x v="4"/>
    <x v="1"/>
    <s v="04:00-05:00 PM"/>
    <s v="Ongoin"/>
    <x v="2"/>
    <x v="4"/>
    <x v="1"/>
  </r>
  <r>
    <s v="ADM0427"/>
    <x v="261"/>
    <s v="STU0427"/>
    <s v="Prateek Kharva"/>
    <d v="2004-03-19T00:00:00"/>
    <x v="4"/>
    <x v="4"/>
    <x v="5"/>
    <x v="7"/>
    <s v="UI/UX Design"/>
    <x v="5"/>
    <x v="1"/>
    <s v="09:00-10:00 AM"/>
    <s v="Ongoin"/>
    <x v="0"/>
    <x v="4"/>
    <x v="1"/>
  </r>
  <r>
    <s v="ADM0428"/>
    <x v="262"/>
    <s v="STU0428"/>
    <s v="Garvit Gajera"/>
    <d v="2005-10-04T00:00:00"/>
    <x v="3"/>
    <x v="3"/>
    <x v="6"/>
    <x v="8"/>
    <s v="AI &amp; Data Science"/>
    <x v="6"/>
    <x v="0"/>
    <s v="05:00- 06:00PM"/>
    <s v="Ongoin"/>
    <x v="2"/>
    <x v="4"/>
    <x v="1"/>
  </r>
  <r>
    <s v="ADM0429"/>
    <x v="263"/>
    <s v="STU0429"/>
    <s v="Muskan Gadhiya"/>
    <d v="2004-06-15T00:00:00"/>
    <x v="5"/>
    <x v="5"/>
    <x v="7"/>
    <x v="9"/>
    <s v="Game Development"/>
    <x v="7"/>
    <x v="0"/>
    <s v="09:00 - 10:00 AM"/>
    <s v="Ongoin"/>
    <x v="0"/>
    <x v="4"/>
    <x v="1"/>
  </r>
  <r>
    <s v="ADM0430"/>
    <x v="264"/>
    <s v="STU0430"/>
    <s v="Yashwant Chikani"/>
    <d v="2008-02-21T00:00:00"/>
    <x v="0"/>
    <x v="0"/>
    <x v="8"/>
    <x v="0"/>
    <s v="Cyber Security"/>
    <x v="0"/>
    <x v="0"/>
    <s v="03:00-04:00 PM"/>
    <s v="Ongoin"/>
    <x v="4"/>
    <x v="4"/>
    <x v="1"/>
  </r>
  <r>
    <s v="ADM0431"/>
    <x v="265"/>
    <s v="STU0431"/>
    <s v="Anurag Bhadarka"/>
    <d v="2004-12-08T00:00:00"/>
    <x v="3"/>
    <x v="3"/>
    <x v="9"/>
    <x v="1"/>
    <s v="Programming"/>
    <x v="1"/>
    <x v="0"/>
    <s v="06:00 - 07:00 PM"/>
    <s v="Ongoin"/>
    <x v="2"/>
    <x v="4"/>
    <x v="1"/>
  </r>
  <r>
    <s v="ADM0432"/>
    <x v="266"/>
    <s v="STU0432"/>
    <s v="Divyanshi Bhalani"/>
    <d v="2005-09-17T00:00:00"/>
    <x v="6"/>
    <x v="6"/>
    <x v="10"/>
    <x v="2"/>
    <s v="Design"/>
    <x v="2"/>
    <x v="1"/>
    <s v="11:00-12:00  AM"/>
    <s v="Ongoin"/>
    <x v="2"/>
    <x v="4"/>
    <x v="1"/>
  </r>
  <r>
    <s v="ADM0433"/>
    <x v="267"/>
    <s v="STU0433"/>
    <s v="Naman Kankot"/>
    <d v="2004-01-30T00:00:00"/>
    <x v="1"/>
    <x v="1"/>
    <x v="11"/>
    <x v="3"/>
    <s v="Design &amp; Video Editing"/>
    <x v="3"/>
    <x v="0"/>
    <s v="10:00-11:00 AM"/>
    <s v="Ongoin"/>
    <x v="0"/>
    <x v="4"/>
    <x v="1"/>
  </r>
  <r>
    <s v="ADM0434"/>
    <x v="268"/>
    <s v="STU0434"/>
    <s v="Ishika Khandhediya"/>
    <d v="2005-07-13T00:00:00"/>
    <x v="3"/>
    <x v="3"/>
    <x v="12"/>
    <x v="4"/>
    <s v="Graphic Design"/>
    <x v="4"/>
    <x v="0"/>
    <s v="04:00-05:00 PM"/>
    <s v="Ongoin"/>
    <x v="2"/>
    <x v="4"/>
    <x v="1"/>
  </r>
  <r>
    <s v="ADM0435"/>
    <x v="269"/>
    <s v="STU0435"/>
    <s v="Aarav Gajipara"/>
    <d v="2004-05-24T00:00:00"/>
    <x v="7"/>
    <x v="7"/>
    <x v="13"/>
    <x v="5"/>
    <s v="Graphic Design"/>
    <x v="5"/>
    <x v="1"/>
    <s v="09:00-10:00 AM"/>
    <s v="Ongoin"/>
    <x v="0"/>
    <x v="4"/>
    <x v="1"/>
  </r>
  <r>
    <s v="ADM0436"/>
    <x v="270"/>
    <s v="STU0436"/>
    <s v="Mehak Kothiya"/>
    <d v="2005-11-09T00:00:00"/>
    <x v="3"/>
    <x v="3"/>
    <x v="14"/>
    <x v="6"/>
    <s v="Graphic Design"/>
    <x v="6"/>
    <x v="1"/>
    <s v="05:00- 06:00PM"/>
    <s v="Ongoin"/>
    <x v="5"/>
    <x v="4"/>
    <x v="1"/>
  </r>
  <r>
    <s v="ADM0437"/>
    <x v="271"/>
    <s v="STU0437"/>
    <s v="Ishaan Sondarva"/>
    <d v="2004-04-02T00:00:00"/>
    <x v="0"/>
    <x v="0"/>
    <x v="0"/>
    <x v="7"/>
    <s v="UI/UX Design"/>
    <x v="7"/>
    <x v="0"/>
    <s v="09:00 - 10:00 AM"/>
    <s v="Ongoin"/>
    <x v="0"/>
    <x v="4"/>
    <x v="1"/>
  </r>
  <r>
    <s v="ADM0438"/>
    <x v="272"/>
    <s v="STU0438"/>
    <s v="Tanisha Dalsaniya"/>
    <d v="2005-08-26T00:00:00"/>
    <x v="1"/>
    <x v="1"/>
    <x v="1"/>
    <x v="8"/>
    <s v="AI &amp; Data Science"/>
    <x v="0"/>
    <x v="0"/>
    <s v="03:00-04:00 PM"/>
    <s v="Ongoin"/>
    <x v="2"/>
    <x v="4"/>
    <x v="1"/>
  </r>
  <r>
    <s v="ADM0439"/>
    <x v="273"/>
    <s v="STU0439"/>
    <s v="Raghav Dhadhal"/>
    <d v="2004-10-11T00:00:00"/>
    <x v="2"/>
    <x v="2"/>
    <x v="2"/>
    <x v="9"/>
    <s v="Game Development"/>
    <x v="1"/>
    <x v="1"/>
    <s v="06:00 - 07:00 PM"/>
    <s v="Ongoin"/>
    <x v="0"/>
    <x v="4"/>
    <x v="1"/>
  </r>
  <r>
    <s v="ADM0440"/>
    <x v="274"/>
    <s v="STU0440"/>
    <s v="Palak Karmur"/>
    <d v="2005-03-18T00:00:00"/>
    <x v="3"/>
    <x v="3"/>
    <x v="3"/>
    <x v="0"/>
    <s v="Cyber Security"/>
    <x v="2"/>
    <x v="1"/>
    <s v="11:00-12:00  AM"/>
    <s v="Ongoin"/>
    <x v="2"/>
    <x v="4"/>
    <x v="1"/>
  </r>
  <r>
    <s v="ADM0441"/>
    <x v="275"/>
    <s v="STU0441"/>
    <s v="Anshuman Khunt"/>
    <d v="2004-01-07T00:00:00"/>
    <x v="0"/>
    <x v="0"/>
    <x v="4"/>
    <x v="1"/>
    <s v="Programming"/>
    <x v="3"/>
    <x v="1"/>
    <s v="10:00-11:00 AM"/>
    <s v="Ongoin"/>
    <x v="0"/>
    <x v="4"/>
    <x v="1"/>
  </r>
  <r>
    <s v="ADM0138"/>
    <x v="276"/>
    <s v="STU0138"/>
    <s v="Ishita Ramani"/>
    <d v="2005-01-07T00:00:00"/>
    <x v="0"/>
    <x v="0"/>
    <x v="4"/>
    <x v="8"/>
    <s v="AI &amp; Data Science"/>
    <x v="4"/>
    <x v="0"/>
    <s v="11:00-12:00  AM"/>
    <s v="Ongoin"/>
    <x v="2"/>
    <x v="5"/>
    <x v="0"/>
  </r>
  <r>
    <s v="ADM0139"/>
    <x v="277"/>
    <s v="STU0139"/>
    <s v="Reyansh Vekariya"/>
    <d v="2007-11-18T00:00:00"/>
    <x v="4"/>
    <x v="4"/>
    <x v="5"/>
    <x v="9"/>
    <s v="Game Development"/>
    <x v="5"/>
    <x v="0"/>
    <s v="10:00-11:00 AM"/>
    <s v="Ongoin"/>
    <x v="4"/>
    <x v="5"/>
    <x v="0"/>
  </r>
  <r>
    <s v="ADM0140"/>
    <x v="278"/>
    <s v="STU0140"/>
    <s v="Krina Savani"/>
    <d v="2005-07-26T00:00:00"/>
    <x v="3"/>
    <x v="3"/>
    <x v="6"/>
    <x v="0"/>
    <s v="Cyber Security"/>
    <x v="6"/>
    <x v="0"/>
    <s v="04:00-05:00 PM"/>
    <s v="Ongoin"/>
    <x v="2"/>
    <x v="5"/>
    <x v="0"/>
  </r>
  <r>
    <s v="ADM0141"/>
    <x v="279"/>
    <s v="STU0141"/>
    <s v="Darshit Keshwala"/>
    <d v="2006-03-03T00:00:00"/>
    <x v="5"/>
    <x v="5"/>
    <x v="7"/>
    <x v="1"/>
    <s v="Programming"/>
    <x v="7"/>
    <x v="0"/>
    <s v="09:00-10:00 AM"/>
    <s v="Ongoin"/>
    <x v="5"/>
    <x v="5"/>
    <x v="0"/>
  </r>
  <r>
    <s v="ADM0142"/>
    <x v="280"/>
    <s v="STU0142"/>
    <s v="Aarvi Ghelani"/>
    <d v="2005-12-14T00:00:00"/>
    <x v="0"/>
    <x v="0"/>
    <x v="8"/>
    <x v="2"/>
    <s v="Design"/>
    <x v="0"/>
    <x v="0"/>
    <s v="05:00- 06:00PM"/>
    <s v="Ongoin"/>
    <x v="5"/>
    <x v="5"/>
    <x v="0"/>
  </r>
  <r>
    <s v="ADM0143"/>
    <x v="281"/>
    <s v="STU0143"/>
    <s v="Kashvi Khorani"/>
    <d v="2008-09-29T00:00:00"/>
    <x v="3"/>
    <x v="3"/>
    <x v="9"/>
    <x v="3"/>
    <s v="Design &amp; Video Editing"/>
    <x v="1"/>
    <x v="0"/>
    <s v="09:00 - 10:00 AM"/>
    <s v="Ongoin"/>
    <x v="4"/>
    <x v="5"/>
    <x v="0"/>
  </r>
  <r>
    <s v="ADM0144"/>
    <x v="282"/>
    <s v="STU0144"/>
    <s v="Avir Padhiyar"/>
    <d v="2005-06-05T00:00:00"/>
    <x v="6"/>
    <x v="6"/>
    <x v="10"/>
    <x v="4"/>
    <s v="Graphic Design"/>
    <x v="2"/>
    <x v="0"/>
    <s v="03:00-04:00 PM"/>
    <s v="Ongoin"/>
    <x v="2"/>
    <x v="5"/>
    <x v="0"/>
  </r>
  <r>
    <s v="ADM0145"/>
    <x v="283"/>
    <s v="STU0145"/>
    <s v="Dhruvi Virda"/>
    <d v="2004-02-20T00:00:00"/>
    <x v="1"/>
    <x v="1"/>
    <x v="11"/>
    <x v="5"/>
    <s v="Graphic Design"/>
    <x v="3"/>
    <x v="0"/>
    <s v="06:00 - 07:00 PM"/>
    <s v="Ongoin"/>
    <x v="0"/>
    <x v="5"/>
    <x v="0"/>
  </r>
  <r>
    <s v="ADM0146"/>
    <x v="284"/>
    <s v="STU0146"/>
    <s v="Manan Chotaliya"/>
    <d v="2005-08-16T00:00:00"/>
    <x v="3"/>
    <x v="3"/>
    <x v="12"/>
    <x v="6"/>
    <s v="Graphic Design"/>
    <x v="4"/>
    <x v="1"/>
    <s v="11:00-12:00  AM"/>
    <s v="Ongoin"/>
    <x v="2"/>
    <x v="5"/>
    <x v="0"/>
  </r>
  <r>
    <s v="ADM0147"/>
    <x v="285"/>
    <s v="STU0147"/>
    <s v="Eshani Kachot"/>
    <d v="2009-04-10T00:00:00"/>
    <x v="7"/>
    <x v="7"/>
    <x v="13"/>
    <x v="7"/>
    <s v="UI/UX Design"/>
    <x v="5"/>
    <x v="0"/>
    <s v="10:00-11:00 AM"/>
    <s v="Ongoin"/>
    <x v="6"/>
    <x v="5"/>
    <x v="0"/>
  </r>
  <r>
    <s v="ADM0148"/>
    <x v="286"/>
    <s v="STU0148"/>
    <s v="Swayam Vaghasiya"/>
    <d v="2005-11-23T00:00:00"/>
    <x v="3"/>
    <x v="3"/>
    <x v="14"/>
    <x v="8"/>
    <s v="AI &amp; Data Science"/>
    <x v="6"/>
    <x v="0"/>
    <s v="09:00 - 10:00 AM"/>
    <s v="Ongoin"/>
    <x v="5"/>
    <x v="5"/>
    <x v="0"/>
  </r>
  <r>
    <s v="ADM0149"/>
    <x v="287"/>
    <s v="STU0149"/>
    <s v="Vanya Pansuriya"/>
    <d v="2004-05-07T00:00:00"/>
    <x v="0"/>
    <x v="0"/>
    <x v="0"/>
    <x v="9"/>
    <s v="Game Development"/>
    <x v="7"/>
    <x v="1"/>
    <s v="03:00-04:00 PM"/>
    <s v="Ongoin"/>
    <x v="0"/>
    <x v="5"/>
    <x v="0"/>
  </r>
  <r>
    <s v="ADM0150"/>
    <x v="288"/>
    <s v="STU0150"/>
    <s v="Ritvik Lathiya"/>
    <d v="2005-07-19T00:00:00"/>
    <x v="1"/>
    <x v="1"/>
    <x v="1"/>
    <x v="0"/>
    <s v="Cyber Security"/>
    <x v="0"/>
    <x v="0"/>
    <s v="06:00 - 07:00 PM"/>
    <s v="Ongoin"/>
    <x v="2"/>
    <x v="5"/>
    <x v="0"/>
  </r>
  <r>
    <s v="ADM0151"/>
    <x v="289"/>
    <s v="STU0151"/>
    <s v="Mann Jethwa"/>
    <d v="2004-01-31T00:00:00"/>
    <x v="2"/>
    <x v="2"/>
    <x v="2"/>
    <x v="1"/>
    <s v="Programming"/>
    <x v="1"/>
    <x v="0"/>
    <s v="11:00-12:00  AM"/>
    <s v="Ongoin"/>
    <x v="0"/>
    <x v="5"/>
    <x v="0"/>
  </r>
  <r>
    <s v="ADM0152"/>
    <x v="290"/>
    <s v="STU0152"/>
    <s v="Shanaya Dhanani"/>
    <d v="2005-10-12T00:00:00"/>
    <x v="3"/>
    <x v="3"/>
    <x v="3"/>
    <x v="2"/>
    <s v="Design"/>
    <x v="2"/>
    <x v="1"/>
    <s v="10:00-11:00 AM"/>
    <s v="Ongoin"/>
    <x v="2"/>
    <x v="5"/>
    <x v="0"/>
  </r>
  <r>
    <s v="ADM0153"/>
    <x v="291"/>
    <s v="STU0153"/>
    <s v="Aayush Kharva"/>
    <d v="2004-06-04T00:00:00"/>
    <x v="0"/>
    <x v="0"/>
    <x v="4"/>
    <x v="3"/>
    <s v="Design &amp; Video Editing"/>
    <x v="3"/>
    <x v="0"/>
    <s v="04:00-05:00 PM"/>
    <s v="Ongoin"/>
    <x v="0"/>
    <x v="5"/>
    <x v="0"/>
  </r>
  <r>
    <s v="ADM0154"/>
    <x v="292"/>
    <s v="STU0154"/>
    <s v="Anaya Gajera"/>
    <d v="2005-03-25T00:00:00"/>
    <x v="4"/>
    <x v="4"/>
    <x v="5"/>
    <x v="4"/>
    <s v="Graphic Design"/>
    <x v="4"/>
    <x v="1"/>
    <s v="09:00-10:00 AM"/>
    <s v="Ongoin"/>
    <x v="2"/>
    <x v="5"/>
    <x v="0"/>
  </r>
  <r>
    <s v="ADM0155"/>
    <x v="293"/>
    <s v="STU0155"/>
    <s v="Vihaan Gadhiya"/>
    <d v="2006-12-17T00:00:00"/>
    <x v="3"/>
    <x v="3"/>
    <x v="6"/>
    <x v="5"/>
    <s v="Graphic Design"/>
    <x v="5"/>
    <x v="1"/>
    <s v="05:00- 06:00PM"/>
    <s v="Ongoin"/>
    <x v="3"/>
    <x v="5"/>
    <x v="0"/>
  </r>
  <r>
    <s v="ADM0156"/>
    <x v="294"/>
    <s v="STU0156"/>
    <s v="Pranavi Chikani"/>
    <d v="2005-08-08T00:00:00"/>
    <x v="5"/>
    <x v="5"/>
    <x v="7"/>
    <x v="6"/>
    <s v="Graphic Design"/>
    <x v="6"/>
    <x v="0"/>
    <s v="09:00 - 10:00 AM"/>
    <s v="Ongoin"/>
    <x v="2"/>
    <x v="5"/>
    <x v="0"/>
  </r>
  <r>
    <s v="ADM0157"/>
    <x v="295"/>
    <s v="STU0157"/>
    <s v="Sarthak Bhadarka"/>
    <d v="2009-04-22T00:00:00"/>
    <x v="0"/>
    <x v="0"/>
    <x v="8"/>
    <x v="7"/>
    <s v="UI/UX Design"/>
    <x v="7"/>
    <x v="0"/>
    <s v="03:00-04:00 PM"/>
    <s v="Ongoin"/>
    <x v="6"/>
    <x v="5"/>
    <x v="0"/>
  </r>
  <r>
    <s v="ADM0158"/>
    <x v="296"/>
    <s v="STU0158"/>
    <s v="Keshav Bhalani"/>
    <d v="2005-09-06T00:00:00"/>
    <x v="3"/>
    <x v="3"/>
    <x v="9"/>
    <x v="8"/>
    <s v="AI &amp; Data Science"/>
    <x v="0"/>
    <x v="1"/>
    <s v="06:00 - 07:00 PM"/>
    <s v="Ongoin"/>
    <x v="2"/>
    <x v="5"/>
    <x v="0"/>
  </r>
  <r>
    <s v="ADM0159"/>
    <x v="297"/>
    <s v="STU0159"/>
    <s v="Vriti Kankot"/>
    <d v="2004-02-14T00:00:00"/>
    <x v="6"/>
    <x v="6"/>
    <x v="10"/>
    <x v="9"/>
    <s v="Game Development"/>
    <x v="1"/>
    <x v="0"/>
    <s v="11:00-12:00  AM"/>
    <s v="Ongoin"/>
    <x v="0"/>
    <x v="5"/>
    <x v="0"/>
  </r>
  <r>
    <s v="ADM0160"/>
    <x v="298"/>
    <s v="STU0160"/>
    <s v="Samaira Khandhediya"/>
    <d v="2005-05-27T00:00:00"/>
    <x v="1"/>
    <x v="1"/>
    <x v="11"/>
    <x v="0"/>
    <s v="Cyber Security"/>
    <x v="2"/>
    <x v="0"/>
    <s v="10:00-11:00 AM"/>
    <s v="Ongoin"/>
    <x v="2"/>
    <x v="5"/>
    <x v="0"/>
  </r>
  <r>
    <s v="ADM0161"/>
    <x v="299"/>
    <s v="STU0161"/>
    <s v="Devika Gajipara"/>
    <d v="2004-11-09T00:00:00"/>
    <x v="3"/>
    <x v="3"/>
    <x v="12"/>
    <x v="1"/>
    <s v="Programming"/>
    <x v="3"/>
    <x v="1"/>
    <s v="04:00-05:00 PM"/>
    <s v="Ongoin"/>
    <x v="2"/>
    <x v="5"/>
    <x v="0"/>
  </r>
  <r>
    <s v="ADM0162"/>
    <x v="300"/>
    <s v="STU0162"/>
    <s v="Rishit Kothiya"/>
    <d v="2007-03-18T00:00:00"/>
    <x v="7"/>
    <x v="7"/>
    <x v="13"/>
    <x v="2"/>
    <s v="Design"/>
    <x v="4"/>
    <x v="0"/>
    <s v="09:00-10:00 AM"/>
    <s v="Ongoin"/>
    <x v="3"/>
    <x v="5"/>
    <x v="0"/>
  </r>
  <r>
    <s v="ADM0163"/>
    <x v="301"/>
    <s v="STU0163"/>
    <s v="Aarohi Sondarva"/>
    <d v="2004-06-30T00:00:00"/>
    <x v="3"/>
    <x v="3"/>
    <x v="14"/>
    <x v="3"/>
    <s v="Design &amp; Video Editing"/>
    <x v="5"/>
    <x v="1"/>
    <s v="05:00- 06:00PM"/>
    <s v="Ongoin"/>
    <x v="0"/>
    <x v="5"/>
    <x v="0"/>
  </r>
  <r>
    <s v="ADM0164"/>
    <x v="302"/>
    <s v="STU0164"/>
    <s v="Yugant Dalsaniya"/>
    <d v="2005-12-02T00:00:00"/>
    <x v="7"/>
    <x v="7"/>
    <x v="13"/>
    <x v="4"/>
    <s v="Graphic Design"/>
    <x v="6"/>
    <x v="1"/>
    <s v="09:00 - 10:00 AM"/>
    <s v="Ongoin"/>
    <x v="5"/>
    <x v="5"/>
    <x v="0"/>
  </r>
  <r>
    <s v="ADM0165"/>
    <x v="303"/>
    <s v="STU0165"/>
    <s v="Veda Dhadhal"/>
    <d v="2004-04-11T00:00:00"/>
    <x v="3"/>
    <x v="3"/>
    <x v="14"/>
    <x v="5"/>
    <s v="Graphic Design"/>
    <x v="7"/>
    <x v="0"/>
    <s v="03:00-04:00 PM"/>
    <s v="Ongoin"/>
    <x v="0"/>
    <x v="5"/>
    <x v="0"/>
  </r>
  <r>
    <s v="ADM0166"/>
    <x v="304"/>
    <s v="STU0166"/>
    <s v="Rachit Karmur"/>
    <d v="2005-08-24T00:00:00"/>
    <x v="0"/>
    <x v="0"/>
    <x v="0"/>
    <x v="6"/>
    <s v="Graphic Design"/>
    <x v="0"/>
    <x v="0"/>
    <s v="06:00 - 07:00 PM"/>
    <s v="Ongoin"/>
    <x v="2"/>
    <x v="5"/>
    <x v="0"/>
  </r>
  <r>
    <s v="ADM0167"/>
    <x v="305"/>
    <s v="STU0167"/>
    <s v="Aarav Khunt"/>
    <d v="2004-01-05T00:00:00"/>
    <x v="1"/>
    <x v="1"/>
    <x v="1"/>
    <x v="7"/>
    <s v="UI/UX Design"/>
    <x v="1"/>
    <x v="1"/>
    <s v="11:00-12:00  AM"/>
    <s v="Ongoin"/>
    <x v="0"/>
    <x v="5"/>
    <x v="0"/>
  </r>
  <r>
    <s v="ADM0503"/>
    <x v="306"/>
    <s v="STU0503"/>
    <s v="Yug Joshi"/>
    <d v="2008-11-07T00:00:00"/>
    <x v="4"/>
    <x v="4"/>
    <x v="5"/>
    <x v="6"/>
    <s v="Graphic Design"/>
    <x v="5"/>
    <x v="0"/>
    <s v="06:00 - 07:00 PM"/>
    <s v="Ongoin"/>
    <x v="6"/>
    <x v="5"/>
    <x v="1"/>
  </r>
  <r>
    <s v="ADM0504"/>
    <x v="307"/>
    <s v="STU0504"/>
    <s v="Zain Khan"/>
    <d v="2005-08-14T00:00:00"/>
    <x v="6"/>
    <x v="6"/>
    <x v="10"/>
    <x v="7"/>
    <s v="UI/UX Design"/>
    <x v="1"/>
    <x v="0"/>
    <s v="11:00-12:00  AM"/>
    <s v="Ongoin"/>
    <x v="2"/>
    <x v="5"/>
    <x v="1"/>
  </r>
  <r>
    <s v="ADM0505"/>
    <x v="308"/>
    <s v="STU0505"/>
    <s v="Bhavik Donga"/>
    <d v="2006-12-02T00:00:00"/>
    <x v="1"/>
    <x v="1"/>
    <x v="11"/>
    <x v="8"/>
    <s v="AI &amp; Data Science"/>
    <x v="3"/>
    <x v="0"/>
    <s v="10:00-11:00 AM"/>
    <s v="Ongoin"/>
    <x v="3"/>
    <x v="5"/>
    <x v="1"/>
  </r>
  <r>
    <s v="ADM0506"/>
    <x v="309"/>
    <s v="STU0506"/>
    <s v="Jhanvi Gondaliya"/>
    <d v="2006-11-07T00:00:00"/>
    <x v="3"/>
    <x v="3"/>
    <x v="12"/>
    <x v="9"/>
    <s v="Game Development"/>
    <x v="4"/>
    <x v="0"/>
    <s v="04:00-05:00 PM"/>
    <s v="Ongoin"/>
    <x v="3"/>
    <x v="5"/>
    <x v="1"/>
  </r>
  <r>
    <s v="ADM0507"/>
    <x v="310"/>
    <s v="STU0507"/>
    <s v="Tirth Sakhiya"/>
    <d v="2008-08-14T00:00:00"/>
    <x v="7"/>
    <x v="7"/>
    <x v="13"/>
    <x v="9"/>
    <s v="Game Development"/>
    <x v="5"/>
    <x v="0"/>
    <s v="09:00-10:00 AM"/>
    <s v="Ongoin"/>
    <x v="4"/>
    <x v="5"/>
    <x v="1"/>
  </r>
  <r>
    <s v="ADM0508"/>
    <x v="311"/>
    <s v="STU0508"/>
    <s v="Mansi Taraviya"/>
    <d v="2006-12-02T00:00:00"/>
    <x v="1"/>
    <x v="1"/>
    <x v="1"/>
    <x v="4"/>
    <s v="Graphic Design"/>
    <x v="1"/>
    <x v="0"/>
    <s v="05:00- 06:00PM"/>
    <s v="Ongoin"/>
    <x v="3"/>
    <x v="5"/>
    <x v="1"/>
  </r>
  <r>
    <s v="ADM0509"/>
    <x v="312"/>
    <s v="STU0509"/>
    <s v="Rehan Khan"/>
    <d v="2006-11-07T00:00:00"/>
    <x v="8"/>
    <x v="8"/>
    <x v="15"/>
    <x v="5"/>
    <s v="Graphic Design"/>
    <x v="3"/>
    <x v="0"/>
    <s v="03:00-04:00 PM"/>
    <s v="Ongoin"/>
    <x v="3"/>
    <x v="5"/>
    <x v="1"/>
  </r>
  <r>
    <s v="ADM0510"/>
    <x v="313"/>
    <s v="STU0510"/>
    <s v="Avni Kathiriya"/>
    <d v="2005-08-14T00:00:00"/>
    <x v="0"/>
    <x v="0"/>
    <x v="8"/>
    <x v="6"/>
    <s v="Graphic Design"/>
    <x v="4"/>
    <x v="0"/>
    <s v="09:00 - 10:00 AM"/>
    <s v="Ongoin"/>
    <x v="2"/>
    <x v="5"/>
    <x v="1"/>
  </r>
  <r>
    <s v="ADM0511"/>
    <x v="314"/>
    <s v="STU0511"/>
    <s v="Jay Padsara"/>
    <d v="2007-12-02T00:00:00"/>
    <x v="4"/>
    <x v="4"/>
    <x v="5"/>
    <x v="7"/>
    <s v="UI/UX Design"/>
    <x v="5"/>
    <x v="0"/>
    <s v="03:00-04:00 PM"/>
    <s v="Ongoin"/>
    <x v="4"/>
    <x v="5"/>
    <x v="1"/>
  </r>
  <r>
    <s v="ADM0512"/>
    <x v="315"/>
    <s v="STU0512"/>
    <s v="Krisha Joshi"/>
    <d v="2006-11-07T00:00:00"/>
    <x v="6"/>
    <x v="6"/>
    <x v="10"/>
    <x v="8"/>
    <s v="AI &amp; Data Science"/>
    <x v="1"/>
    <x v="0"/>
    <s v="06:00 - 07:00 PM"/>
    <s v="Ongoin"/>
    <x v="3"/>
    <x v="5"/>
    <x v="1"/>
  </r>
  <r>
    <s v="ADM0513"/>
    <x v="316"/>
    <s v="STU0513"/>
    <s v="Rahil Gondaliya"/>
    <d v="2005-08-14T00:00:00"/>
    <x v="1"/>
    <x v="1"/>
    <x v="11"/>
    <x v="9"/>
    <s v="Game Development"/>
    <x v="3"/>
    <x v="0"/>
    <s v="11:00-12:00  AM"/>
    <s v="Ongoin"/>
    <x v="2"/>
    <x v="5"/>
    <x v="1"/>
  </r>
  <r>
    <s v="ADM0514"/>
    <x v="317"/>
    <s v="STU0514"/>
    <s v="Pinal Donga"/>
    <d v="2006-12-02T00:00:00"/>
    <x v="3"/>
    <x v="3"/>
    <x v="12"/>
    <x v="9"/>
    <s v="Game Development"/>
    <x v="4"/>
    <x v="0"/>
    <s v="10:00-11:00 AM"/>
    <s v="Ongoin"/>
    <x v="3"/>
    <x v="5"/>
    <x v="1"/>
  </r>
  <r>
    <s v="ADM0515"/>
    <x v="318"/>
    <s v="STU0515"/>
    <s v="Devanshi Sakhiya"/>
    <d v="2006-11-07T00:00:00"/>
    <x v="7"/>
    <x v="7"/>
    <x v="13"/>
    <x v="4"/>
    <s v="Graphic Design"/>
    <x v="5"/>
    <x v="0"/>
    <s v="04:00-05:00 PM"/>
    <s v="Ongoin"/>
    <x v="3"/>
    <x v="5"/>
    <x v="1"/>
  </r>
  <r>
    <s v="ADM0516"/>
    <x v="319"/>
    <s v="STU0516"/>
    <s v="Aariz Khan"/>
    <d v="2007-08-14T00:00:00"/>
    <x v="1"/>
    <x v="1"/>
    <x v="1"/>
    <x v="5"/>
    <s v="Graphic Design"/>
    <x v="1"/>
    <x v="0"/>
    <s v="09:00-10:00 AM"/>
    <s v="Ongoin"/>
    <x v="3"/>
    <x v="5"/>
    <x v="1"/>
  </r>
  <r>
    <s v="ADM0517"/>
    <x v="320"/>
    <s v="STU0517"/>
    <s v="Jensi Skhakiya"/>
    <d v="2008-02-21T00:00:00"/>
    <x v="8"/>
    <x v="8"/>
    <x v="15"/>
    <x v="6"/>
    <s v="Graphic Design"/>
    <x v="3"/>
    <x v="0"/>
    <s v="05:00- 06:00PM"/>
    <s v="Ongoin"/>
    <x v="4"/>
    <x v="5"/>
    <x v="1"/>
  </r>
  <r>
    <s v="ADM0518"/>
    <x v="321"/>
    <s v="STU0518"/>
    <s v="Arman Padsara"/>
    <d v="2006-11-07T00:00:00"/>
    <x v="0"/>
    <x v="0"/>
    <x v="8"/>
    <x v="7"/>
    <s v="UI/UX Design"/>
    <x v="4"/>
    <x v="0"/>
    <s v="03:00-04:00 PM"/>
    <s v="Ongoin"/>
    <x v="3"/>
    <x v="5"/>
    <x v="1"/>
  </r>
  <r>
    <s v="ADM0519"/>
    <x v="322"/>
    <s v="STU0519"/>
    <s v="Hetvi Sakhiya"/>
    <d v="2005-08-14T00:00:00"/>
    <x v="4"/>
    <x v="4"/>
    <x v="5"/>
    <x v="8"/>
    <s v="AI &amp; Data Science"/>
    <x v="5"/>
    <x v="0"/>
    <s v="09:00 - 10:00 AM"/>
    <s v="Ongoin"/>
    <x v="2"/>
    <x v="5"/>
    <x v="1"/>
  </r>
  <r>
    <s v="ADM0520"/>
    <x v="323"/>
    <s v="STU0520"/>
    <s v="Yug Joshi"/>
    <d v="2006-12-02T00:00:00"/>
    <x v="6"/>
    <x v="6"/>
    <x v="10"/>
    <x v="9"/>
    <s v="Game Development"/>
    <x v="1"/>
    <x v="0"/>
    <s v="03:00-04:00 PM"/>
    <s v="Ongoin"/>
    <x v="3"/>
    <x v="5"/>
    <x v="1"/>
  </r>
  <r>
    <s v="ADM0521"/>
    <x v="324"/>
    <s v="STU0521"/>
    <s v="Zain Khan"/>
    <d v="2006-11-07T00:00:00"/>
    <x v="1"/>
    <x v="1"/>
    <x v="11"/>
    <x v="9"/>
    <s v="Game Development"/>
    <x v="3"/>
    <x v="0"/>
    <s v="06:00 - 07:00 PM"/>
    <s v="Ongoin"/>
    <x v="3"/>
    <x v="5"/>
    <x v="1"/>
  </r>
  <r>
    <s v="ADM0522"/>
    <x v="325"/>
    <s v="STU0522"/>
    <s v="Bhavik Donga"/>
    <d v="2008-08-14T00:00:00"/>
    <x v="3"/>
    <x v="3"/>
    <x v="12"/>
    <x v="4"/>
    <s v="Graphic Design"/>
    <x v="4"/>
    <x v="0"/>
    <s v="11:00-12:00  AM"/>
    <s v="Ongoin"/>
    <x v="4"/>
    <x v="5"/>
    <x v="1"/>
  </r>
  <r>
    <s v="ADM0523"/>
    <x v="326"/>
    <s v="STU0523"/>
    <s v="Jhanvi Gondaliya"/>
    <d v="2009-12-02T00:00:00"/>
    <x v="7"/>
    <x v="7"/>
    <x v="13"/>
    <x v="5"/>
    <s v="Graphic Design"/>
    <x v="5"/>
    <x v="0"/>
    <s v="10:00-11:00 AM"/>
    <s v="Ongoin"/>
    <x v="1"/>
    <x v="5"/>
    <x v="1"/>
  </r>
  <r>
    <s v="ADM0524"/>
    <x v="327"/>
    <s v="STU0524"/>
    <s v="Tirth Sakhiya"/>
    <d v="2005-11-07T00:00:00"/>
    <x v="1"/>
    <x v="1"/>
    <x v="1"/>
    <x v="6"/>
    <s v="Graphic Design"/>
    <x v="1"/>
    <x v="0"/>
    <s v="04:00-05:00 PM"/>
    <s v="Ongoin"/>
    <x v="5"/>
    <x v="5"/>
    <x v="1"/>
  </r>
  <r>
    <s v="ADM0525"/>
    <x v="328"/>
    <s v="STU0525"/>
    <s v="Mansi Taraviya"/>
    <d v="2007-08-14T00:00:00"/>
    <x v="8"/>
    <x v="8"/>
    <x v="15"/>
    <x v="7"/>
    <s v="UI/UX Design"/>
    <x v="3"/>
    <x v="0"/>
    <s v="09:00-10:00 AM"/>
    <s v="Ongoin"/>
    <x v="3"/>
    <x v="5"/>
    <x v="1"/>
  </r>
  <r>
    <s v="ADM0526"/>
    <x v="329"/>
    <s v="STU0526"/>
    <s v="Rehan Khan"/>
    <d v="2006-12-02T00:00:00"/>
    <x v="0"/>
    <x v="0"/>
    <x v="8"/>
    <x v="8"/>
    <s v="AI &amp; Data Science"/>
    <x v="4"/>
    <x v="0"/>
    <s v="05:00- 06:00PM"/>
    <s v="Ongoin"/>
    <x v="3"/>
    <x v="5"/>
    <x v="1"/>
  </r>
  <r>
    <s v="ADM0527"/>
    <x v="330"/>
    <s v="STU0527"/>
    <s v="Avni Kathiriya"/>
    <d v="2006-11-07T00:00:00"/>
    <x v="4"/>
    <x v="4"/>
    <x v="5"/>
    <x v="9"/>
    <s v="Game Development"/>
    <x v="5"/>
    <x v="0"/>
    <s v="03:00-04:00 PM"/>
    <s v="Ongoin"/>
    <x v="3"/>
    <x v="5"/>
    <x v="1"/>
  </r>
  <r>
    <s v="ADM0528"/>
    <x v="331"/>
    <s v="STU0528"/>
    <s v="Jay Padsara"/>
    <d v="2005-08-14T00:00:00"/>
    <x v="6"/>
    <x v="6"/>
    <x v="10"/>
    <x v="9"/>
    <s v="Game Development"/>
    <x v="1"/>
    <x v="0"/>
    <s v="09:00 - 10:00 AM"/>
    <s v="Ongoin"/>
    <x v="2"/>
    <x v="5"/>
    <x v="1"/>
  </r>
  <r>
    <s v="ADM0529"/>
    <x v="332"/>
    <s v="STU0529"/>
    <s v="Krisha Joshi"/>
    <d v="2006-12-02T00:00:00"/>
    <x v="1"/>
    <x v="1"/>
    <x v="11"/>
    <x v="4"/>
    <s v="Graphic Design"/>
    <x v="3"/>
    <x v="0"/>
    <s v="03:00-04:00 PM"/>
    <s v="Ongoin"/>
    <x v="3"/>
    <x v="5"/>
    <x v="1"/>
  </r>
  <r>
    <s v="ADM0530"/>
    <x v="333"/>
    <s v="STU0530"/>
    <s v="Rahil Gondaliya"/>
    <d v="2006-11-07T00:00:00"/>
    <x v="3"/>
    <x v="3"/>
    <x v="12"/>
    <x v="5"/>
    <s v="Graphic Design"/>
    <x v="4"/>
    <x v="0"/>
    <s v="06:00 - 07:00 PM"/>
    <s v="Ongoin"/>
    <x v="3"/>
    <x v="5"/>
    <x v="1"/>
  </r>
  <r>
    <s v="ADM0531"/>
    <x v="334"/>
    <s v="STU0531"/>
    <s v="Pinal Donga"/>
    <d v="2005-08-14T00:00:00"/>
    <x v="7"/>
    <x v="7"/>
    <x v="13"/>
    <x v="6"/>
    <s v="Graphic Design"/>
    <x v="5"/>
    <x v="0"/>
    <s v="11:00-12:00  AM"/>
    <s v="Ongoin"/>
    <x v="2"/>
    <x v="5"/>
    <x v="1"/>
  </r>
  <r>
    <s v="ADM0532"/>
    <x v="335"/>
    <s v="STU0532"/>
    <s v="Devanshi Sakhiya"/>
    <d v="2006-12-02T00:00:00"/>
    <x v="1"/>
    <x v="1"/>
    <x v="1"/>
    <x v="7"/>
    <s v="UI/UX Design"/>
    <x v="1"/>
    <x v="0"/>
    <s v="10:00-11:00 AM"/>
    <s v="Ongoin"/>
    <x v="3"/>
    <x v="5"/>
    <x v="1"/>
  </r>
  <r>
    <s v="ADM0168"/>
    <x v="336"/>
    <s v="STU0168"/>
    <s v="Samar Vachhani"/>
    <d v="2008-10-16T00:00:00"/>
    <x v="2"/>
    <x v="2"/>
    <x v="2"/>
    <x v="8"/>
    <s v="AI &amp; Data Science"/>
    <x v="2"/>
    <x v="0"/>
    <s v="10:00-11:00 AM"/>
    <s v="Ongoin"/>
    <x v="6"/>
    <x v="6"/>
    <x v="0"/>
  </r>
  <r>
    <s v="ADM0169"/>
    <x v="337"/>
    <s v="STU0169"/>
    <s v="Nakul Boricha"/>
    <d v="2004-06-28T00:00:00"/>
    <x v="3"/>
    <x v="3"/>
    <x v="3"/>
    <x v="9"/>
    <s v="Game Development"/>
    <x v="3"/>
    <x v="0"/>
    <s v="09:00 - 10:00 AM"/>
    <s v="Ongoin"/>
    <x v="0"/>
    <x v="6"/>
    <x v="0"/>
  </r>
  <r>
    <s v="ADM0170"/>
    <x v="338"/>
    <s v="STU0170"/>
    <s v="Siddhant Dholariya"/>
    <d v="2005-03-13T00:00:00"/>
    <x v="0"/>
    <x v="0"/>
    <x v="4"/>
    <x v="0"/>
    <s v="Cyber Security"/>
    <x v="4"/>
    <x v="1"/>
    <s v="03:00-04:00 PM"/>
    <s v="Ongoin"/>
    <x v="2"/>
    <x v="6"/>
    <x v="0"/>
  </r>
  <r>
    <s v="ADM0171"/>
    <x v="339"/>
    <s v="STU0171"/>
    <s v="Prisha Jivani"/>
    <d v="2004-09-07T00:00:00"/>
    <x v="4"/>
    <x v="4"/>
    <x v="5"/>
    <x v="1"/>
    <s v="Programming"/>
    <x v="5"/>
    <x v="0"/>
    <s v="06:00 - 07:00 PM"/>
    <s v="Ongoin"/>
    <x v="0"/>
    <x v="6"/>
    <x v="0"/>
  </r>
  <r>
    <s v="ADM0172"/>
    <x v="340"/>
    <s v="STU0172"/>
    <s v="Kavya Mavani"/>
    <d v="2005-12-21T00:00:00"/>
    <x v="3"/>
    <x v="3"/>
    <x v="6"/>
    <x v="2"/>
    <s v="Design"/>
    <x v="6"/>
    <x v="0"/>
    <s v="11:00-12:00  AM"/>
    <s v="Ongoin"/>
    <x v="5"/>
    <x v="6"/>
    <x v="0"/>
  </r>
  <r>
    <s v="ADM0173"/>
    <x v="341"/>
    <s v="STU0173"/>
    <s v="Tanish Ramani"/>
    <d v="2004-05-19T00:00:00"/>
    <x v="5"/>
    <x v="5"/>
    <x v="7"/>
    <x v="3"/>
    <s v="Design &amp; Video Editing"/>
    <x v="7"/>
    <x v="0"/>
    <s v="10:00-11:00 AM"/>
    <s v="Ongoin"/>
    <x v="0"/>
    <x v="6"/>
    <x v="0"/>
  </r>
  <r>
    <s v="ADM0174"/>
    <x v="342"/>
    <s v="STU0174"/>
    <s v="Mihir Vekariya"/>
    <d v="2008-07-03T00:00:00"/>
    <x v="0"/>
    <x v="0"/>
    <x v="8"/>
    <x v="4"/>
    <s v="Graphic Design"/>
    <x v="0"/>
    <x v="0"/>
    <s v="04:00-05:00 PM"/>
    <s v="Ongoin"/>
    <x v="4"/>
    <x v="6"/>
    <x v="0"/>
  </r>
  <r>
    <s v="ADM0175"/>
    <x v="343"/>
    <s v="STU0175"/>
    <s v="Riddhima Savani"/>
    <d v="2004-02-26T00:00:00"/>
    <x v="3"/>
    <x v="3"/>
    <x v="9"/>
    <x v="5"/>
    <s v="Graphic Design"/>
    <x v="1"/>
    <x v="0"/>
    <s v="09:00-10:00 AM"/>
    <s v="Ongoin"/>
    <x v="0"/>
    <x v="6"/>
    <x v="0"/>
  </r>
  <r>
    <s v="ADM0176"/>
    <x v="344"/>
    <s v="STU0176"/>
    <s v="Niraj Keshwala"/>
    <d v="2005-11-10T00:00:00"/>
    <x v="6"/>
    <x v="6"/>
    <x v="10"/>
    <x v="6"/>
    <s v="Graphic Design"/>
    <x v="2"/>
    <x v="0"/>
    <s v="05:00- 06:00PM"/>
    <s v="Ongoin"/>
    <x v="5"/>
    <x v="6"/>
    <x v="0"/>
  </r>
  <r>
    <s v="ADM0177"/>
    <x v="345"/>
    <s v="STU0177"/>
    <s v="Bhargav Ghelani"/>
    <d v="2004-08-15T00:00:00"/>
    <x v="1"/>
    <x v="1"/>
    <x v="11"/>
    <x v="7"/>
    <s v="UI/UX Design"/>
    <x v="3"/>
    <x v="0"/>
    <s v="09:00 - 10:00 AM"/>
    <s v="Ongoin"/>
    <x v="0"/>
    <x v="6"/>
    <x v="0"/>
  </r>
  <r>
    <s v="ADM0178"/>
    <x v="346"/>
    <s v="STU0178"/>
    <s v="Pinal Khorani"/>
    <d v="2005-04-29T00:00:00"/>
    <x v="3"/>
    <x v="3"/>
    <x v="12"/>
    <x v="8"/>
    <s v="AI &amp; Data Science"/>
    <x v="4"/>
    <x v="0"/>
    <s v="03:00-04:00 PM"/>
    <s v="Ongoin"/>
    <x v="2"/>
    <x v="6"/>
    <x v="0"/>
  </r>
  <r>
    <s v="ADM0179"/>
    <x v="347"/>
    <s v="STU0179"/>
    <s v="Aakash Padhiyar"/>
    <d v="2004-12-01T00:00:00"/>
    <x v="7"/>
    <x v="7"/>
    <x v="13"/>
    <x v="9"/>
    <s v="Game Development"/>
    <x v="5"/>
    <x v="0"/>
    <s v="06:00 - 07:00 PM"/>
    <s v="Ongoin"/>
    <x v="2"/>
    <x v="6"/>
    <x v="0"/>
  </r>
  <r>
    <s v="ADM0180"/>
    <x v="348"/>
    <s v="STU0180"/>
    <s v="Rima Virda"/>
    <d v="2005-06-17T00:00:00"/>
    <x v="3"/>
    <x v="3"/>
    <x v="14"/>
    <x v="0"/>
    <s v="Cyber Security"/>
    <x v="6"/>
    <x v="0"/>
    <s v="11:00-12:00  AM"/>
    <s v="Ongoin"/>
    <x v="2"/>
    <x v="6"/>
    <x v="0"/>
  </r>
  <r>
    <s v="ADM0181"/>
    <x v="349"/>
    <s v="STU0181"/>
    <s v="Parthiv Chotaliya"/>
    <d v="2004-03-23T00:00:00"/>
    <x v="0"/>
    <x v="0"/>
    <x v="0"/>
    <x v="1"/>
    <s v="Programming"/>
    <x v="7"/>
    <x v="0"/>
    <s v="10:00-11:00 AM"/>
    <s v="Ongoin"/>
    <x v="0"/>
    <x v="6"/>
    <x v="0"/>
  </r>
  <r>
    <s v="ADM0182"/>
    <x v="350"/>
    <s v="STU0182"/>
    <s v="Feni Kachot"/>
    <d v="2006-10-06T00:00:00"/>
    <x v="1"/>
    <x v="1"/>
    <x v="1"/>
    <x v="2"/>
    <s v="Design"/>
    <x v="0"/>
    <x v="0"/>
    <s v="04:00-05:00 PM"/>
    <s v="Ongoin"/>
    <x v="5"/>
    <x v="6"/>
    <x v="0"/>
  </r>
  <r>
    <s v="ADM0183"/>
    <x v="351"/>
    <s v="STU0183"/>
    <s v="Janki Vaghasiya"/>
    <d v="2004-01-12T00:00:00"/>
    <x v="2"/>
    <x v="2"/>
    <x v="2"/>
    <x v="3"/>
    <s v="Design &amp; Video Editing"/>
    <x v="1"/>
    <x v="0"/>
    <s v="09:00-10:00 AM"/>
    <s v="Ongoin"/>
    <x v="0"/>
    <x v="6"/>
    <x v="0"/>
  </r>
  <r>
    <s v="ADM0184"/>
    <x v="352"/>
    <s v="STU0184"/>
    <s v="Mitesh Pansuriya"/>
    <d v="2005-07-28T00:00:00"/>
    <x v="3"/>
    <x v="3"/>
    <x v="3"/>
    <x v="4"/>
    <s v="Graphic Design"/>
    <x v="2"/>
    <x v="0"/>
    <s v="05:00- 06:00PM"/>
    <s v="Ongoin"/>
    <x v="2"/>
    <x v="6"/>
    <x v="0"/>
  </r>
  <r>
    <s v="ADM0185"/>
    <x v="353"/>
    <s v="STU0185"/>
    <s v="Hiral Lathiya"/>
    <d v="2004-06-09T00:00:00"/>
    <x v="0"/>
    <x v="0"/>
    <x v="4"/>
    <x v="5"/>
    <s v="Graphic Design"/>
    <x v="3"/>
    <x v="0"/>
    <s v="09:00 - 10:00 AM"/>
    <s v="Ongoin"/>
    <x v="0"/>
    <x v="6"/>
    <x v="0"/>
  </r>
  <r>
    <s v="ADM0186"/>
    <x v="354"/>
    <s v="STU0186"/>
    <s v="Ravi Jethwa"/>
    <d v="2005-09-20T00:00:00"/>
    <x v="4"/>
    <x v="4"/>
    <x v="5"/>
    <x v="6"/>
    <s v="Graphic Design"/>
    <x v="4"/>
    <x v="0"/>
    <s v="03:00-04:00 PM"/>
    <s v="Ongoin"/>
    <x v="2"/>
    <x v="6"/>
    <x v="0"/>
  </r>
  <r>
    <s v="ADM0187"/>
    <x v="355"/>
    <s v="STU0187"/>
    <s v="Priti Dhanani"/>
    <d v="2004-03-04T00:00:00"/>
    <x v="3"/>
    <x v="3"/>
    <x v="6"/>
    <x v="7"/>
    <s v="UI/UX Design"/>
    <x v="5"/>
    <x v="0"/>
    <s v="06:00 - 07:00 PM"/>
    <s v="Ongoin"/>
    <x v="0"/>
    <x v="6"/>
    <x v="0"/>
  </r>
  <r>
    <s v="ADM0188"/>
    <x v="356"/>
    <s v="STU0188"/>
    <s v="Sahil Kharva"/>
    <d v="2005-05-14T00:00:00"/>
    <x v="5"/>
    <x v="5"/>
    <x v="7"/>
    <x v="8"/>
    <s v="AI &amp; Data Science"/>
    <x v="6"/>
    <x v="0"/>
    <s v="11:00-12:00  AM"/>
    <s v="Ongoin"/>
    <x v="2"/>
    <x v="6"/>
    <x v="0"/>
  </r>
  <r>
    <s v="ADM0189"/>
    <x v="357"/>
    <s v="STU0189"/>
    <s v="Aneri Gajera"/>
    <d v="2004-11-25T00:00:00"/>
    <x v="0"/>
    <x v="0"/>
    <x v="8"/>
    <x v="9"/>
    <s v="Game Development"/>
    <x v="7"/>
    <x v="0"/>
    <s v="10:00-11:00 AM"/>
    <s v="Ongoin"/>
    <x v="2"/>
    <x v="6"/>
    <x v="0"/>
  </r>
  <r>
    <s v="ADM0190"/>
    <x v="358"/>
    <s v="STU0190"/>
    <s v="Bhargavi Gadhiya"/>
    <d v="2005-02-08T00:00:00"/>
    <x v="3"/>
    <x v="3"/>
    <x v="9"/>
    <x v="0"/>
    <s v="Cyber Security"/>
    <x v="0"/>
    <x v="0"/>
    <s v="09:00 - 10:00 AM"/>
    <s v="Ongoin"/>
    <x v="2"/>
    <x v="6"/>
    <x v="0"/>
  </r>
  <r>
    <s v="ADM0191"/>
    <x v="359"/>
    <s v="STU0191"/>
    <s v="Nishta Chikani"/>
    <d v="2006-07-18T00:00:00"/>
    <x v="6"/>
    <x v="6"/>
    <x v="10"/>
    <x v="1"/>
    <s v="Programming"/>
    <x v="1"/>
    <x v="0"/>
    <s v="03:00-04:00 PM"/>
    <s v="Ongoin"/>
    <x v="5"/>
    <x v="6"/>
    <x v="0"/>
  </r>
  <r>
    <s v="ADM0192"/>
    <x v="360"/>
    <s v="STU0192"/>
    <s v="Jash Patel"/>
    <d v="2005-03-30T00:00:00"/>
    <x v="1"/>
    <x v="1"/>
    <x v="11"/>
    <x v="2"/>
    <s v="Design"/>
    <x v="2"/>
    <x v="0"/>
    <s v="06:00 - 07:00 PM"/>
    <s v="Ongoin"/>
    <x v="2"/>
    <x v="6"/>
    <x v="0"/>
  </r>
  <r>
    <s v="ADM0193"/>
    <x v="361"/>
    <s v="STU0193"/>
    <s v="Pratik Mevawala"/>
    <d v="2004-09-02T00:00:00"/>
    <x v="3"/>
    <x v="3"/>
    <x v="12"/>
    <x v="3"/>
    <s v="Design &amp; Video Editing"/>
    <x v="3"/>
    <x v="0"/>
    <s v="11:00-12:00  AM"/>
    <s v="Ongoin"/>
    <x v="0"/>
    <x v="6"/>
    <x v="0"/>
  </r>
  <r>
    <s v="ADM0194"/>
    <x v="362"/>
    <s v="STU0194"/>
    <s v="Viral Surti"/>
    <d v="2005-12-11T00:00:00"/>
    <x v="7"/>
    <x v="7"/>
    <x v="13"/>
    <x v="4"/>
    <s v="Graphic Design"/>
    <x v="4"/>
    <x v="0"/>
    <s v="10:00-11:00 AM"/>
    <s v="Ongoin"/>
    <x v="5"/>
    <x v="6"/>
    <x v="0"/>
  </r>
  <r>
    <s v="ADM0195"/>
    <x v="363"/>
    <s v="STU0195"/>
    <s v="Khyati Kachhi"/>
    <d v="2004-04-27T00:00:00"/>
    <x v="3"/>
    <x v="3"/>
    <x v="14"/>
    <x v="5"/>
    <s v="Graphic Design"/>
    <x v="5"/>
    <x v="0"/>
    <s v="04:00-05:00 PM"/>
    <s v="Ongoin"/>
    <x v="0"/>
    <x v="6"/>
    <x v="0"/>
  </r>
  <r>
    <s v="ADM0196"/>
    <x v="364"/>
    <s v="STU0196"/>
    <s v="Urvi Barot"/>
    <d v="2005-08-05T00:00:00"/>
    <x v="7"/>
    <x v="7"/>
    <x v="13"/>
    <x v="6"/>
    <s v="Graphic Design"/>
    <x v="6"/>
    <x v="0"/>
    <s v="09:00-10:00 AM"/>
    <s v="Ongoin"/>
    <x v="2"/>
    <x v="6"/>
    <x v="0"/>
  </r>
  <r>
    <s v="ADM0197"/>
    <x v="365"/>
    <s v="STU0197"/>
    <s v="Nakul Baxi"/>
    <d v="2007-06-16T00:00:00"/>
    <x v="3"/>
    <x v="3"/>
    <x v="14"/>
    <x v="7"/>
    <s v="UI/UX Design"/>
    <x v="7"/>
    <x v="0"/>
    <s v="05:00- 06:00PM"/>
    <s v="Ongoin"/>
    <x v="3"/>
    <x v="6"/>
    <x v="0"/>
  </r>
  <r>
    <s v="ADM0198"/>
    <x v="366"/>
    <s v="STU0198"/>
    <s v="Sanjay Luhar"/>
    <d v="2005-01-22T00:00:00"/>
    <x v="0"/>
    <x v="0"/>
    <x v="0"/>
    <x v="8"/>
    <s v="AI &amp; Data Science"/>
    <x v="0"/>
    <x v="0"/>
    <s v="09:00 - 10:00 AM"/>
    <s v="Ongoin"/>
    <x v="2"/>
    <x v="6"/>
    <x v="0"/>
  </r>
  <r>
    <s v="ADM0533"/>
    <x v="367"/>
    <s v="STU0533"/>
    <s v="Aariz Khan"/>
    <d v="2006-11-07T00:00:00"/>
    <x v="8"/>
    <x v="8"/>
    <x v="15"/>
    <x v="8"/>
    <s v="AI &amp; Data Science"/>
    <x v="3"/>
    <x v="0"/>
    <s v="04:00-05:00 PM"/>
    <s v="Ongoin"/>
    <x v="3"/>
    <x v="6"/>
    <x v="1"/>
  </r>
  <r>
    <s v="ADM0534"/>
    <x v="368"/>
    <s v="STU0534"/>
    <s v="Jensi Skhakiya"/>
    <d v="2009-01-08T00:00:00"/>
    <x v="0"/>
    <x v="0"/>
    <x v="8"/>
    <x v="9"/>
    <s v="Game Development"/>
    <x v="4"/>
    <x v="0"/>
    <s v="09:00-10:00 AM"/>
    <s v="Ongoin"/>
    <x v="6"/>
    <x v="6"/>
    <x v="1"/>
  </r>
  <r>
    <s v="ADM0535"/>
    <x v="369"/>
    <s v="STU0535"/>
    <s v="Arman Padsara"/>
    <d v="2006-12-02T00:00:00"/>
    <x v="4"/>
    <x v="4"/>
    <x v="5"/>
    <x v="9"/>
    <s v="Game Development"/>
    <x v="5"/>
    <x v="0"/>
    <s v="05:00- 06:00PM"/>
    <s v="Ongoin"/>
    <x v="3"/>
    <x v="6"/>
    <x v="1"/>
  </r>
  <r>
    <s v="ADM0536"/>
    <x v="370"/>
    <s v="STU0536"/>
    <s v="Hetvi Sakhiya"/>
    <d v="2006-11-07T00:00:00"/>
    <x v="6"/>
    <x v="6"/>
    <x v="10"/>
    <x v="4"/>
    <s v="Graphic Design"/>
    <x v="1"/>
    <x v="0"/>
    <s v="03:00-04:00 PM"/>
    <s v="Ongoin"/>
    <x v="3"/>
    <x v="6"/>
    <x v="1"/>
  </r>
  <r>
    <s v="ADM0537"/>
    <x v="371"/>
    <s v="STU0537"/>
    <s v="Yug Joshi"/>
    <d v="2005-08-14T00:00:00"/>
    <x v="1"/>
    <x v="1"/>
    <x v="11"/>
    <x v="5"/>
    <s v="Graphic Design"/>
    <x v="3"/>
    <x v="0"/>
    <s v="09:00 - 10:00 AM"/>
    <s v="Ongoin"/>
    <x v="2"/>
    <x v="6"/>
    <x v="1"/>
  </r>
  <r>
    <s v="ADM0538"/>
    <x v="372"/>
    <s v="STU0538"/>
    <s v="Zain Khan"/>
    <d v="2006-12-02T00:00:00"/>
    <x v="3"/>
    <x v="3"/>
    <x v="12"/>
    <x v="6"/>
    <s v="Graphic Design"/>
    <x v="4"/>
    <x v="0"/>
    <s v="03:00-04:00 PM"/>
    <s v="Ongoin"/>
    <x v="3"/>
    <x v="6"/>
    <x v="1"/>
  </r>
  <r>
    <s v="ADM0539"/>
    <x v="373"/>
    <s v="STU0539"/>
    <s v="Bhavik Donga"/>
    <d v="2006-11-07T00:00:00"/>
    <x v="7"/>
    <x v="7"/>
    <x v="13"/>
    <x v="7"/>
    <s v="UI/UX Design"/>
    <x v="5"/>
    <x v="0"/>
    <s v="06:00 - 07:00 PM"/>
    <s v="Ongoin"/>
    <x v="3"/>
    <x v="6"/>
    <x v="1"/>
  </r>
  <r>
    <s v="ADM0540"/>
    <x v="374"/>
    <s v="STU0540"/>
    <s v="Jhanvi Gondaliya"/>
    <d v="2005-08-14T00:00:00"/>
    <x v="1"/>
    <x v="1"/>
    <x v="1"/>
    <x v="8"/>
    <s v="AI &amp; Data Science"/>
    <x v="1"/>
    <x v="0"/>
    <s v="11:00-12:00  AM"/>
    <s v="Ongoin"/>
    <x v="2"/>
    <x v="6"/>
    <x v="1"/>
  </r>
  <r>
    <s v="ADM0541"/>
    <x v="375"/>
    <s v="STU0541"/>
    <s v="Tirth Sakhiya"/>
    <d v="2009-12-02T00:00:00"/>
    <x v="8"/>
    <x v="8"/>
    <x v="15"/>
    <x v="9"/>
    <s v="Game Development"/>
    <x v="3"/>
    <x v="0"/>
    <s v="10:00-11:00 AM"/>
    <s v="Ongoin"/>
    <x v="1"/>
    <x v="6"/>
    <x v="1"/>
  </r>
  <r>
    <s v="ADM0542"/>
    <x v="376"/>
    <s v="STU0542"/>
    <s v="Mansi Taraviya"/>
    <d v="2006-11-07T00:00:00"/>
    <x v="0"/>
    <x v="0"/>
    <x v="8"/>
    <x v="9"/>
    <s v="Game Development"/>
    <x v="4"/>
    <x v="0"/>
    <s v="04:00-05:00 PM"/>
    <s v="Ongoin"/>
    <x v="3"/>
    <x v="6"/>
    <x v="1"/>
  </r>
  <r>
    <s v="ADM0543"/>
    <x v="377"/>
    <s v="STU0543"/>
    <s v="Rehan Khan"/>
    <d v="2005-08-14T00:00:00"/>
    <x v="4"/>
    <x v="4"/>
    <x v="5"/>
    <x v="4"/>
    <s v="Graphic Design"/>
    <x v="5"/>
    <x v="0"/>
    <s v="09:00-10:00 AM"/>
    <s v="Ongoin"/>
    <x v="2"/>
    <x v="6"/>
    <x v="1"/>
  </r>
  <r>
    <s v="ADM0544"/>
    <x v="378"/>
    <s v="STU0544"/>
    <s v="Avni Kathiriya"/>
    <d v="2006-12-02T00:00:00"/>
    <x v="6"/>
    <x v="6"/>
    <x v="10"/>
    <x v="5"/>
    <s v="Graphic Design"/>
    <x v="1"/>
    <x v="0"/>
    <s v="05:00- 06:00PM"/>
    <s v="Ongoin"/>
    <x v="3"/>
    <x v="6"/>
    <x v="1"/>
  </r>
  <r>
    <s v="ADM0545"/>
    <x v="379"/>
    <s v="STU0545"/>
    <s v="Jay Padsara"/>
    <d v="2007-11-07T00:00:00"/>
    <x v="1"/>
    <x v="1"/>
    <x v="11"/>
    <x v="6"/>
    <s v="Graphic Design"/>
    <x v="3"/>
    <x v="0"/>
    <s v="03:00-04:00 PM"/>
    <s v="Ongoin"/>
    <x v="4"/>
    <x v="6"/>
    <x v="1"/>
  </r>
  <r>
    <s v="ADM0546"/>
    <x v="380"/>
    <s v="STU0546"/>
    <s v="Krisha Joshi"/>
    <d v="2005-08-14T00:00:00"/>
    <x v="3"/>
    <x v="3"/>
    <x v="12"/>
    <x v="7"/>
    <s v="UI/UX Design"/>
    <x v="4"/>
    <x v="0"/>
    <s v="09:00 - 10:00 AM"/>
    <s v="Ongoin"/>
    <x v="2"/>
    <x v="6"/>
    <x v="1"/>
  </r>
  <r>
    <s v="ADM0547"/>
    <x v="381"/>
    <s v="STU0547"/>
    <s v="Rahil Gondaliya"/>
    <d v="2006-12-02T00:00:00"/>
    <x v="7"/>
    <x v="7"/>
    <x v="13"/>
    <x v="8"/>
    <s v="AI &amp; Data Science"/>
    <x v="5"/>
    <x v="0"/>
    <s v="03:00-04:00 PM"/>
    <s v="Ongoin"/>
    <x v="3"/>
    <x v="6"/>
    <x v="1"/>
  </r>
  <r>
    <s v="ADM0548"/>
    <x v="382"/>
    <s v="STU0548"/>
    <s v="Pinal Donga"/>
    <d v="2006-11-07T00:00:00"/>
    <x v="1"/>
    <x v="1"/>
    <x v="1"/>
    <x v="9"/>
    <s v="Game Development"/>
    <x v="1"/>
    <x v="0"/>
    <s v="06:00 - 07:00 PM"/>
    <s v="Ongoin"/>
    <x v="3"/>
    <x v="6"/>
    <x v="1"/>
  </r>
  <r>
    <s v="ADM0549"/>
    <x v="383"/>
    <s v="STU0549"/>
    <s v="Devanshi Sakhiya"/>
    <d v="2005-08-14T00:00:00"/>
    <x v="8"/>
    <x v="8"/>
    <x v="15"/>
    <x v="9"/>
    <s v="Game Development"/>
    <x v="3"/>
    <x v="0"/>
    <s v="11:00-12:00  AM"/>
    <s v="Ongoin"/>
    <x v="2"/>
    <x v="6"/>
    <x v="1"/>
  </r>
  <r>
    <s v="ADM0550"/>
    <x v="384"/>
    <s v="STU0550"/>
    <s v="Aariz Khan"/>
    <d v="2006-12-02T00:00:00"/>
    <x v="0"/>
    <x v="0"/>
    <x v="8"/>
    <x v="4"/>
    <s v="Graphic Design"/>
    <x v="4"/>
    <x v="0"/>
    <s v="10:00-11:00 AM"/>
    <s v="Ongoin"/>
    <x v="3"/>
    <x v="6"/>
    <x v="1"/>
  </r>
  <r>
    <s v="ADM0551"/>
    <x v="385"/>
    <s v="STU0551"/>
    <s v="Jensi Skhakiya"/>
    <d v="2006-11-07T00:00:00"/>
    <x v="4"/>
    <x v="4"/>
    <x v="5"/>
    <x v="5"/>
    <s v="Graphic Design"/>
    <x v="5"/>
    <x v="0"/>
    <s v="04:00-05:00 PM"/>
    <s v="Ongoin"/>
    <x v="3"/>
    <x v="6"/>
    <x v="1"/>
  </r>
  <r>
    <s v="ADM0552"/>
    <x v="386"/>
    <s v="STU0552"/>
    <s v="Arman Padsara"/>
    <d v="2005-08-14T00:00:00"/>
    <x v="6"/>
    <x v="6"/>
    <x v="10"/>
    <x v="6"/>
    <s v="Graphic Design"/>
    <x v="1"/>
    <x v="0"/>
    <s v="09:00-10:00 AM"/>
    <s v="Ongoin"/>
    <x v="2"/>
    <x v="6"/>
    <x v="1"/>
  </r>
  <r>
    <s v="ADM0553"/>
    <x v="387"/>
    <s v="STU0553"/>
    <s v="Hetvi Sakhiya"/>
    <d v="2008-12-02T00:00:00"/>
    <x v="1"/>
    <x v="1"/>
    <x v="11"/>
    <x v="7"/>
    <s v="UI/UX Design"/>
    <x v="3"/>
    <x v="0"/>
    <s v="05:00- 06:00PM"/>
    <s v="Ongoin"/>
    <x v="6"/>
    <x v="6"/>
    <x v="1"/>
  </r>
  <r>
    <s v="ADM0554"/>
    <x v="388"/>
    <s v="STU0554"/>
    <s v="Yug Joshi"/>
    <d v="2006-11-07T00:00:00"/>
    <x v="3"/>
    <x v="3"/>
    <x v="12"/>
    <x v="8"/>
    <s v="AI &amp; Data Science"/>
    <x v="4"/>
    <x v="0"/>
    <s v="03:00-04:00 PM"/>
    <s v="Ongoin"/>
    <x v="3"/>
    <x v="6"/>
    <x v="1"/>
  </r>
  <r>
    <s v="ADM0555"/>
    <x v="389"/>
    <s v="STU0555"/>
    <s v="Zain Khan"/>
    <d v="2005-08-14T00:00:00"/>
    <x v="7"/>
    <x v="7"/>
    <x v="13"/>
    <x v="9"/>
    <s v="Game Development"/>
    <x v="5"/>
    <x v="0"/>
    <s v="09:00 - 10:00 AM"/>
    <s v="Ongoin"/>
    <x v="2"/>
    <x v="6"/>
    <x v="1"/>
  </r>
  <r>
    <s v="ADM0556"/>
    <x v="390"/>
    <s v="STU0556"/>
    <s v="Bhavik Donga"/>
    <d v="2006-12-02T00:00:00"/>
    <x v="1"/>
    <x v="1"/>
    <x v="1"/>
    <x v="9"/>
    <s v="Game Development"/>
    <x v="1"/>
    <x v="0"/>
    <s v="03:00-04:00 PM"/>
    <s v="Ongoin"/>
    <x v="3"/>
    <x v="6"/>
    <x v="1"/>
  </r>
  <r>
    <s v="ADM0557"/>
    <x v="391"/>
    <s v="STU0557"/>
    <s v="Jhanvi Gondaliya"/>
    <d v="2006-11-07T00:00:00"/>
    <x v="8"/>
    <x v="8"/>
    <x v="15"/>
    <x v="4"/>
    <s v="Graphic Design"/>
    <x v="3"/>
    <x v="0"/>
    <s v="06:00 - 07:00 PM"/>
    <s v="Ongoin"/>
    <x v="3"/>
    <x v="6"/>
    <x v="1"/>
  </r>
  <r>
    <s v="ADM0558"/>
    <x v="392"/>
    <s v="STU0558"/>
    <s v="Tirth Sakhiya"/>
    <d v="2005-08-14T00:00:00"/>
    <x v="0"/>
    <x v="0"/>
    <x v="8"/>
    <x v="5"/>
    <s v="Graphic Design"/>
    <x v="4"/>
    <x v="0"/>
    <s v="11:00-12:00  AM"/>
    <s v="Ongoin"/>
    <x v="2"/>
    <x v="6"/>
    <x v="1"/>
  </r>
  <r>
    <s v="ADM0559"/>
    <x v="393"/>
    <s v="STU0559"/>
    <s v="Mansi Taraviya"/>
    <d v="2006-12-02T00:00:00"/>
    <x v="4"/>
    <x v="4"/>
    <x v="5"/>
    <x v="6"/>
    <s v="Graphic Design"/>
    <x v="5"/>
    <x v="0"/>
    <s v="10:00-11:00 AM"/>
    <s v="Ongoin"/>
    <x v="3"/>
    <x v="6"/>
    <x v="1"/>
  </r>
  <r>
    <s v="ADM0560"/>
    <x v="394"/>
    <s v="STU0560"/>
    <s v="Rehan Khan"/>
    <d v="2008-11-07T00:00:00"/>
    <x v="6"/>
    <x v="6"/>
    <x v="10"/>
    <x v="7"/>
    <s v="UI/UX Design"/>
    <x v="1"/>
    <x v="0"/>
    <s v="04:00-05:00 PM"/>
    <s v="Ongoin"/>
    <x v="6"/>
    <x v="6"/>
    <x v="1"/>
  </r>
  <r>
    <s v="ADM0561"/>
    <x v="395"/>
    <s v="STU0561"/>
    <s v="Avni Kathiriya"/>
    <d v="2005-08-14T00:00:00"/>
    <x v="1"/>
    <x v="1"/>
    <x v="11"/>
    <x v="8"/>
    <s v="AI &amp; Data Science"/>
    <x v="3"/>
    <x v="0"/>
    <s v="09:00-10:00 AM"/>
    <s v="Ongoin"/>
    <x v="2"/>
    <x v="6"/>
    <x v="1"/>
  </r>
  <r>
    <s v="ADM0562"/>
    <x v="396"/>
    <s v="STU0562"/>
    <s v="Jay Padsara"/>
    <d v="2006-12-02T00:00:00"/>
    <x v="3"/>
    <x v="3"/>
    <x v="12"/>
    <x v="9"/>
    <s v="Game Development"/>
    <x v="4"/>
    <x v="0"/>
    <s v="05:00- 06:00PM"/>
    <s v="Ongoin"/>
    <x v="3"/>
    <x v="6"/>
    <x v="1"/>
  </r>
  <r>
    <s v="ADM0563"/>
    <x v="397"/>
    <s v="STU0563"/>
    <s v="Krisha Joshi"/>
    <d v="2009-11-07T00:00:00"/>
    <x v="7"/>
    <x v="7"/>
    <x v="13"/>
    <x v="9"/>
    <s v="Game Development"/>
    <x v="5"/>
    <x v="0"/>
    <s v="03:00-04:00 PM"/>
    <s v="Ongoin"/>
    <x v="1"/>
    <x v="6"/>
    <x v="1"/>
  </r>
  <r>
    <s v="ADM0001"/>
    <x v="398"/>
    <s v="STU0001"/>
    <s v="Hina Khana"/>
    <d v="2004-05-12T00:00:00"/>
    <x v="1"/>
    <x v="1"/>
    <x v="1"/>
    <x v="8"/>
    <s v="Artificial Intelligence"/>
    <x v="3"/>
    <x v="0"/>
    <s v="09:00 - 10:00 AM"/>
    <s v="Ongoin"/>
    <x v="0"/>
    <x v="7"/>
    <x v="0"/>
  </r>
  <r>
    <s v="ADM0002"/>
    <x v="399"/>
    <s v="STU0002"/>
    <s v="Vivaan Chavda"/>
    <d v="2003-08-23T00:00:00"/>
    <x v="3"/>
    <x v="3"/>
    <x v="9"/>
    <x v="11"/>
    <s v="Programming"/>
    <x v="4"/>
    <x v="1"/>
    <s v="03:00-04:00 PM"/>
    <s v="Ongoin"/>
    <x v="8"/>
    <x v="7"/>
    <x v="0"/>
  </r>
  <r>
    <s v="ADM0003"/>
    <x v="400"/>
    <s v="STU0003"/>
    <s v="Anaya Bhandari"/>
    <d v="2007-11-04T00:00:00"/>
    <x v="0"/>
    <x v="0"/>
    <x v="8"/>
    <x v="14"/>
    <s v="Data Analytics"/>
    <x v="5"/>
    <x v="0"/>
    <s v="06:00 - 07:00 PM"/>
    <s v="Ongoin"/>
    <x v="4"/>
    <x v="7"/>
    <x v="0"/>
  </r>
  <r>
    <s v="ADM0004"/>
    <x v="401"/>
    <s v="STU0004"/>
    <s v="Ritesh Gohil"/>
    <d v="2005-02-16T00:00:00"/>
    <x v="4"/>
    <x v="4"/>
    <x v="5"/>
    <x v="13"/>
    <s v="Web Development"/>
    <x v="5"/>
    <x v="0"/>
    <s v="11:00-12:00  AM"/>
    <s v="Ongoin"/>
    <x v="2"/>
    <x v="7"/>
    <x v="0"/>
  </r>
  <r>
    <s v="ADM0005"/>
    <x v="402"/>
    <s v="STU0005"/>
    <s v="Mahi Solanki"/>
    <d v="2004-06-30T00:00:00"/>
    <x v="1"/>
    <x v="1"/>
    <x v="11"/>
    <x v="15"/>
    <s v="Database"/>
    <x v="5"/>
    <x v="1"/>
    <s v="10:00-11:00 AM"/>
    <s v="Ongoin"/>
    <x v="0"/>
    <x v="7"/>
    <x v="0"/>
  </r>
  <r>
    <s v="ADM0006"/>
    <x v="403"/>
    <s v="STU0006"/>
    <s v="Kavish Vora"/>
    <d v="2003-09-19T00:00:00"/>
    <x v="3"/>
    <x v="3"/>
    <x v="12"/>
    <x v="10"/>
    <s v="Artificial Intelligence"/>
    <x v="5"/>
    <x v="0"/>
    <s v="04:00-05:00 PM"/>
    <s v="Ongoin"/>
    <x v="8"/>
    <x v="7"/>
    <x v="0"/>
  </r>
  <r>
    <s v="ADM0007"/>
    <x v="404"/>
    <s v="STU0007"/>
    <s v="Tanvi Makwana"/>
    <d v="2006-03-11T00:00:00"/>
    <x v="9"/>
    <x v="9"/>
    <x v="16"/>
    <x v="11"/>
    <s v="Programming"/>
    <x v="5"/>
    <x v="1"/>
    <s v="09:00-10:00 AM"/>
    <s v="Ongoin"/>
    <x v="5"/>
    <x v="7"/>
    <x v="0"/>
  </r>
  <r>
    <s v="ADM0008"/>
    <x v="405"/>
    <s v="STU0008"/>
    <s v="Dhruv Baria"/>
    <d v="2004-12-07T00:00:00"/>
    <x v="0"/>
    <x v="0"/>
    <x v="17"/>
    <x v="12"/>
    <s v="Data Science"/>
    <x v="5"/>
    <x v="1"/>
    <s v="05:00- 06:00PM"/>
    <s v="Ongoin"/>
    <x v="2"/>
    <x v="7"/>
    <x v="0"/>
  </r>
  <r>
    <s v="ADM0009"/>
    <x v="406"/>
    <s v="STU0009"/>
    <s v="Ishani Zala"/>
    <d v="2008-01-28T00:00:00"/>
    <x v="3"/>
    <x v="3"/>
    <x v="18"/>
    <x v="13"/>
    <s v="Web Development"/>
    <x v="5"/>
    <x v="0"/>
    <s v="09:00 - 10:00 AM"/>
    <s v="Ongoin"/>
    <x v="4"/>
    <x v="7"/>
    <x v="0"/>
  </r>
  <r>
    <s v="ADM0010"/>
    <x v="407"/>
    <s v="STU0010"/>
    <s v="Pratham Dabhi"/>
    <d v="2004-07-09T00:00:00"/>
    <x v="7"/>
    <x v="7"/>
    <x v="13"/>
    <x v="15"/>
    <s v="Database"/>
    <x v="5"/>
    <x v="0"/>
    <s v="03:00-04:00 PM"/>
    <s v="Ongoin"/>
    <x v="0"/>
    <x v="7"/>
    <x v="0"/>
  </r>
  <r>
    <s v="ADM0011"/>
    <x v="408"/>
    <s v="STU0011"/>
    <s v="Nandini Rathwa"/>
    <d v="2006-04-15T00:00:00"/>
    <x v="1"/>
    <x v="1"/>
    <x v="1"/>
    <x v="8"/>
    <s v="Artificial Intelligence"/>
    <x v="5"/>
    <x v="1"/>
    <s v="06:00 - 07:00 PM"/>
    <s v="Ongoin"/>
    <x v="5"/>
    <x v="7"/>
    <x v="0"/>
  </r>
  <r>
    <s v="ADM0012"/>
    <x v="409"/>
    <s v="STU0012"/>
    <s v="Yash Jadeja"/>
    <d v="2003-10-22T00:00:00"/>
    <x v="3"/>
    <x v="3"/>
    <x v="19"/>
    <x v="11"/>
    <s v="Programming"/>
    <x v="5"/>
    <x v="0"/>
    <s v="11:00-12:00  AM"/>
    <s v="Ongoin"/>
    <x v="0"/>
    <x v="7"/>
    <x v="0"/>
  </r>
  <r>
    <s v="ADM0013"/>
    <x v="410"/>
    <s v="STU0013"/>
    <s v="Aarohi Vaghela"/>
    <d v="2004-01-13T00:00:00"/>
    <x v="0"/>
    <x v="0"/>
    <x v="20"/>
    <x v="14"/>
    <s v="Data Analytics"/>
    <x v="5"/>
    <x v="0"/>
    <s v="10:00-11:00 AM"/>
    <s v="Ongoin"/>
    <x v="0"/>
    <x v="7"/>
    <x v="0"/>
  </r>
  <r>
    <s v="ADM0014"/>
    <x v="411"/>
    <s v="STU0014"/>
    <s v="Samar Khatri"/>
    <d v="2005-08-08T00:00:00"/>
    <x v="4"/>
    <x v="4"/>
    <x v="5"/>
    <x v="13"/>
    <s v="Web Development"/>
    <x v="5"/>
    <x v="1"/>
    <s v="04:00-05:00 PM"/>
    <s v="Ongoin"/>
    <x v="2"/>
    <x v="7"/>
    <x v="0"/>
  </r>
  <r>
    <s v="ADM0015"/>
    <x v="412"/>
    <s v="STU0015"/>
    <s v="Riddhi Purohit"/>
    <d v="2003-05-17T00:00:00"/>
    <x v="3"/>
    <x v="3"/>
    <x v="14"/>
    <x v="15"/>
    <s v="Database"/>
    <x v="5"/>
    <x v="0"/>
    <s v="09:00-10:00 AM"/>
    <s v="Ongoin"/>
    <x v="8"/>
    <x v="7"/>
    <x v="0"/>
  </r>
  <r>
    <s v="ADM0016"/>
    <x v="413"/>
    <s v="STU0016"/>
    <s v="Moksh Bhatt"/>
    <d v="2006-12-25T00:00:00"/>
    <x v="5"/>
    <x v="5"/>
    <x v="7"/>
    <x v="10"/>
    <s v="Artificial Intelligence"/>
    <x v="2"/>
    <x v="1"/>
    <s v="05:00- 06:00PM"/>
    <s v="Ongoin"/>
    <x v="3"/>
    <x v="7"/>
    <x v="0"/>
  </r>
  <r>
    <s v="ADM0017"/>
    <x v="414"/>
    <s v="STU0017"/>
    <s v="Avni Dave"/>
    <d v="2005-03-03T00:00:00"/>
    <x v="0"/>
    <x v="0"/>
    <x v="0"/>
    <x v="11"/>
    <s v="Programming"/>
    <x v="3"/>
    <x v="1"/>
    <s v="09:00 - 10:00 AM"/>
    <s v="Ongoin"/>
    <x v="2"/>
    <x v="7"/>
    <x v="0"/>
  </r>
  <r>
    <s v="ADM0352"/>
    <x v="415"/>
    <s v="STU0352"/>
    <s v="Muskan Vaghasiya"/>
    <d v="2005-05-03T00:00:00"/>
    <x v="1"/>
    <x v="1"/>
    <x v="11"/>
    <x v="2"/>
    <s v="Design"/>
    <x v="2"/>
    <x v="0"/>
    <s v="05:00- 06:00PM"/>
    <s v="Ongoin"/>
    <x v="2"/>
    <x v="7"/>
    <x v="1"/>
  </r>
  <r>
    <s v="ADM0353"/>
    <x v="416"/>
    <s v="STU0353"/>
    <s v="Sakshi Pansuriya"/>
    <d v="2004-07-19T00:00:00"/>
    <x v="3"/>
    <x v="3"/>
    <x v="12"/>
    <x v="3"/>
    <s v="Design &amp; Video Editing"/>
    <x v="3"/>
    <x v="0"/>
    <s v="09:00 - 10:00 AM"/>
    <s v="Ongoin"/>
    <x v="0"/>
    <x v="7"/>
    <x v="1"/>
  </r>
  <r>
    <s v="ADM0354"/>
    <x v="417"/>
    <s v="STU0354"/>
    <s v="Yashwant Lathiya"/>
    <d v="2005-01-11T00:00:00"/>
    <x v="7"/>
    <x v="7"/>
    <x v="13"/>
    <x v="4"/>
    <s v="Graphic Design"/>
    <x v="4"/>
    <x v="0"/>
    <s v="03:00-04:00 PM"/>
    <s v="Ongoin"/>
    <x v="2"/>
    <x v="7"/>
    <x v="1"/>
  </r>
  <r>
    <s v="ADM0355"/>
    <x v="418"/>
    <s v="STU0355"/>
    <s v="Anurag Jethwa"/>
    <d v="2004-06-26T00:00:00"/>
    <x v="3"/>
    <x v="3"/>
    <x v="14"/>
    <x v="5"/>
    <s v="Graphic Design"/>
    <x v="5"/>
    <x v="0"/>
    <s v="06:00 - 07:00 PM"/>
    <s v="Ongoin"/>
    <x v="0"/>
    <x v="7"/>
    <x v="1"/>
  </r>
  <r>
    <s v="ADM0356"/>
    <x v="419"/>
    <s v="STU0356"/>
    <s v="Divyanshi Dhanani"/>
    <d v="2005-12-07T00:00:00"/>
    <x v="7"/>
    <x v="7"/>
    <x v="13"/>
    <x v="6"/>
    <s v="Graphic Design"/>
    <x v="6"/>
    <x v="0"/>
    <s v="11:00-12:00  AM"/>
    <s v="Ongoin"/>
    <x v="5"/>
    <x v="7"/>
    <x v="1"/>
  </r>
  <r>
    <s v="ADM0357"/>
    <x v="420"/>
    <s v="STU0357"/>
    <s v="Naman Kharva"/>
    <d v="2004-03-14T00:00:00"/>
    <x v="3"/>
    <x v="3"/>
    <x v="14"/>
    <x v="7"/>
    <s v="UI/UX Design"/>
    <x v="7"/>
    <x v="1"/>
    <s v="10:00-11:00 AM"/>
    <s v="Ongoin"/>
    <x v="0"/>
    <x v="7"/>
    <x v="1"/>
  </r>
  <r>
    <s v="ADM0358"/>
    <x v="421"/>
    <s v="STU0358"/>
    <s v="Ishika Gajera"/>
    <d v="2005-10-22T00:00:00"/>
    <x v="0"/>
    <x v="0"/>
    <x v="0"/>
    <x v="8"/>
    <s v="AI &amp; Data Science"/>
    <x v="0"/>
    <x v="1"/>
    <s v="09:00 - 10:00 AM"/>
    <s v="Ongoin"/>
    <x v="5"/>
    <x v="7"/>
    <x v="1"/>
  </r>
  <r>
    <s v="ADM0359"/>
    <x v="422"/>
    <s v="STU0359"/>
    <s v="Aarav Gadhiya"/>
    <d v="2004-05-09T00:00:00"/>
    <x v="1"/>
    <x v="1"/>
    <x v="1"/>
    <x v="9"/>
    <s v="Game Development"/>
    <x v="1"/>
    <x v="0"/>
    <s v="03:00-04:00 PM"/>
    <s v="Ongoin"/>
    <x v="0"/>
    <x v="7"/>
    <x v="1"/>
  </r>
  <r>
    <s v="ADM0360"/>
    <x v="423"/>
    <s v="STU0360"/>
    <s v="Mehak Chikani"/>
    <d v="2005-08-18T00:00:00"/>
    <x v="2"/>
    <x v="2"/>
    <x v="2"/>
    <x v="0"/>
    <s v="Cyber Security"/>
    <x v="2"/>
    <x v="0"/>
    <s v="06:00 - 07:00 PM"/>
    <s v="Ongoin"/>
    <x v="2"/>
    <x v="7"/>
    <x v="1"/>
  </r>
  <r>
    <s v="ADM0361"/>
    <x v="424"/>
    <s v="STU0361"/>
    <s v="Ishaan Bhadarka"/>
    <d v="2004-02-01T00:00:00"/>
    <x v="3"/>
    <x v="3"/>
    <x v="3"/>
    <x v="1"/>
    <s v="Programming"/>
    <x v="3"/>
    <x v="0"/>
    <s v="11:00-12:00  AM"/>
    <s v="Ongoin"/>
    <x v="0"/>
    <x v="7"/>
    <x v="1"/>
  </r>
  <r>
    <s v="ADM0362"/>
    <x v="425"/>
    <s v="STU0362"/>
    <s v="Tanisha Bhalani"/>
    <d v="2005-06-27T00:00:00"/>
    <x v="0"/>
    <x v="0"/>
    <x v="4"/>
    <x v="2"/>
    <s v="Design"/>
    <x v="4"/>
    <x v="1"/>
    <s v="10:00-11:00 AM"/>
    <s v="Ongoin"/>
    <x v="2"/>
    <x v="7"/>
    <x v="1"/>
  </r>
  <r>
    <s v="ADM0363"/>
    <x v="426"/>
    <s v="STU0363"/>
    <s v="Raghav Kankot"/>
    <d v="2004-11-13T00:00:00"/>
    <x v="4"/>
    <x v="4"/>
    <x v="5"/>
    <x v="3"/>
    <s v="Design &amp; Video Editing"/>
    <x v="5"/>
    <x v="0"/>
    <s v="04:00-05:00 PM"/>
    <s v="Ongoin"/>
    <x v="2"/>
    <x v="7"/>
    <x v="1"/>
  </r>
  <r>
    <s v="ADM0364"/>
    <x v="427"/>
    <s v="STU0364"/>
    <s v="Palak Khandhediya"/>
    <d v="2005-04-05T00:00:00"/>
    <x v="3"/>
    <x v="3"/>
    <x v="6"/>
    <x v="4"/>
    <s v="Graphic Design"/>
    <x v="6"/>
    <x v="0"/>
    <s v="09:00-10:00 AM"/>
    <s v="Ongoin"/>
    <x v="2"/>
    <x v="7"/>
    <x v="1"/>
  </r>
  <r>
    <s v="ADM0365"/>
    <x v="428"/>
    <s v="STU0365"/>
    <s v="Anshuman Gajipara"/>
    <d v="2004-09-20T00:00:00"/>
    <x v="5"/>
    <x v="5"/>
    <x v="7"/>
    <x v="5"/>
    <s v="Graphic Design"/>
    <x v="7"/>
    <x v="1"/>
    <s v="05:00- 06:00PM"/>
    <s v="Ongoin"/>
    <x v="0"/>
    <x v="7"/>
    <x v="1"/>
  </r>
  <r>
    <s v="ADM0366"/>
    <x v="429"/>
    <s v="STU0366"/>
    <s v="Kritika Kothiya"/>
    <d v="2005-01-16T00:00:00"/>
    <x v="0"/>
    <x v="0"/>
    <x v="8"/>
    <x v="6"/>
    <s v="Graphic Design"/>
    <x v="0"/>
    <x v="1"/>
    <s v="09:00 - 10:00 AM"/>
    <s v="Ongoin"/>
    <x v="2"/>
    <x v="7"/>
    <x v="1"/>
  </r>
  <r>
    <s v="ADM0367"/>
    <x v="430"/>
    <s v="STU0367"/>
    <s v="Shivangi Sondarva"/>
    <d v="2004-07-08T00:00:00"/>
    <x v="3"/>
    <x v="3"/>
    <x v="9"/>
    <x v="7"/>
    <s v="UI/UX Design"/>
    <x v="1"/>
    <x v="1"/>
    <s v="03:00-04:00 PM"/>
    <s v="Ongoin"/>
    <x v="0"/>
    <x v="7"/>
    <x v="1"/>
  </r>
  <r>
    <s v="ADM0368"/>
    <x v="431"/>
    <s v="STU0368"/>
    <s v="Abhinandan Dalsaniya"/>
    <d v="2008-11-29T00:00:00"/>
    <x v="6"/>
    <x v="6"/>
    <x v="10"/>
    <x v="8"/>
    <s v="AI &amp; Data Science"/>
    <x v="2"/>
    <x v="1"/>
    <s v="06:00 - 07:00 PM"/>
    <s v="Ongoin"/>
    <x v="6"/>
    <x v="7"/>
    <x v="1"/>
  </r>
  <r>
    <s v="ADM0369"/>
    <x v="432"/>
    <s v="STU0369"/>
    <s v="Ritika Dhadhal"/>
    <d v="2004-03-02T00:00:00"/>
    <x v="1"/>
    <x v="1"/>
    <x v="11"/>
    <x v="9"/>
    <s v="Game Development"/>
    <x v="3"/>
    <x v="1"/>
    <s v="11:00-12:00  AM"/>
    <s v="Ongoin"/>
    <x v="0"/>
    <x v="7"/>
    <x v="1"/>
  </r>
  <r>
    <s v="ADM0370"/>
    <x v="433"/>
    <s v="STU0370"/>
    <s v="Prateek Karmur"/>
    <d v="2005-05-12T00:00:00"/>
    <x v="3"/>
    <x v="3"/>
    <x v="12"/>
    <x v="0"/>
    <s v="Cyber Security"/>
    <x v="4"/>
    <x v="1"/>
    <s v="10:00-11:00 AM"/>
    <s v="Ongoin"/>
    <x v="2"/>
    <x v="7"/>
    <x v="1"/>
  </r>
  <r>
    <s v="ADM0371"/>
    <x v="434"/>
    <s v="STU0371"/>
    <s v="Garvit Khunt"/>
    <d v="2004-10-25T00:00:00"/>
    <x v="7"/>
    <x v="7"/>
    <x v="13"/>
    <x v="1"/>
    <s v="Programming"/>
    <x v="5"/>
    <x v="1"/>
    <s v="04:00-05:00 PM"/>
    <s v="Ongoin"/>
    <x v="2"/>
    <x v="7"/>
    <x v="1"/>
  </r>
  <r>
    <s v="ADM0372"/>
    <x v="435"/>
    <s v="STU0372"/>
    <s v="Muskan Vachhani"/>
    <d v="2005-08-06T00:00:00"/>
    <x v="3"/>
    <x v="3"/>
    <x v="14"/>
    <x v="2"/>
    <s v="Design"/>
    <x v="6"/>
    <x v="1"/>
    <s v="09:00-10:00 AM"/>
    <s v="Ongoin"/>
    <x v="2"/>
    <x v="7"/>
    <x v="1"/>
  </r>
  <r>
    <s v="ADM0373"/>
    <x v="436"/>
    <s v="STU0373"/>
    <s v="Yashwant Boricha"/>
    <d v="2004-02-17T00:00:00"/>
    <x v="0"/>
    <x v="0"/>
    <x v="0"/>
    <x v="3"/>
    <s v="Design &amp; Video Editing"/>
    <x v="7"/>
    <x v="1"/>
    <s v="05:00- 06:00PM"/>
    <s v="Ongoin"/>
    <x v="0"/>
    <x v="7"/>
    <x v="1"/>
  </r>
  <r>
    <s v="ADM0374"/>
    <x v="437"/>
    <s v="STU0374"/>
    <s v="Anurag Dholariya"/>
    <d v="2005-09-21T00:00:00"/>
    <x v="1"/>
    <x v="1"/>
    <x v="1"/>
    <x v="4"/>
    <s v="Graphic Design"/>
    <x v="0"/>
    <x v="1"/>
    <s v="09:00 - 10:00 AM"/>
    <s v="Ongoin"/>
    <x v="2"/>
    <x v="7"/>
    <x v="1"/>
  </r>
  <r>
    <s v="ADM0375"/>
    <x v="438"/>
    <s v="STU0375"/>
    <s v="Divyanshi Jivani"/>
    <d v="2004-04-30T00:00:00"/>
    <x v="2"/>
    <x v="2"/>
    <x v="2"/>
    <x v="5"/>
    <s v="Graphic Design"/>
    <x v="1"/>
    <x v="1"/>
    <s v="03:00-04:00 PM"/>
    <s v="Ongoin"/>
    <x v="0"/>
    <x v="7"/>
    <x v="1"/>
  </r>
  <r>
    <s v="ADM0376"/>
    <x v="439"/>
    <s v="STU0376"/>
    <s v="Naman Mavani"/>
    <d v="2005-07-09T00:00:00"/>
    <x v="3"/>
    <x v="3"/>
    <x v="3"/>
    <x v="6"/>
    <s v="Graphic Design"/>
    <x v="2"/>
    <x v="1"/>
    <s v="06:00 - 07:00 PM"/>
    <s v="Ongoin"/>
    <x v="2"/>
    <x v="7"/>
    <x v="1"/>
  </r>
  <r>
    <s v="ADM0377"/>
    <x v="440"/>
    <s v="STU0377"/>
    <s v="Ishika Ramani"/>
    <d v="2004-11-04T00:00:00"/>
    <x v="0"/>
    <x v="0"/>
    <x v="4"/>
    <x v="7"/>
    <s v="UI/UX Design"/>
    <x v="3"/>
    <x v="1"/>
    <s v="11:00-12:00  AM"/>
    <s v="Ongoin"/>
    <x v="2"/>
    <x v="7"/>
    <x v="1"/>
  </r>
  <r>
    <s v="ADM0378"/>
    <x v="441"/>
    <s v="STU0378"/>
    <s v="Aarav Vekariya"/>
    <d v="2006-03-15T00:00:00"/>
    <x v="4"/>
    <x v="4"/>
    <x v="5"/>
    <x v="8"/>
    <s v="AI &amp; Data Science"/>
    <x v="4"/>
    <x v="1"/>
    <s v="10:00-11:00 AM"/>
    <s v="Ongoin"/>
    <x v="5"/>
    <x v="7"/>
    <x v="1"/>
  </r>
  <r>
    <s v="ADM0379"/>
    <x v="442"/>
    <s v="STU0379"/>
    <s v="Mehak Savani"/>
    <d v="2004-06-28T00:00:00"/>
    <x v="3"/>
    <x v="3"/>
    <x v="6"/>
    <x v="9"/>
    <s v="Game Development"/>
    <x v="5"/>
    <x v="1"/>
    <s v="09:00 - 10:00 AM"/>
    <s v="Ongoin"/>
    <x v="0"/>
    <x v="7"/>
    <x v="1"/>
  </r>
  <r>
    <s v="ADM0380"/>
    <x v="443"/>
    <s v="STU0380"/>
    <s v="Ishaan Keshwala"/>
    <d v="2005-10-01T00:00:00"/>
    <x v="5"/>
    <x v="5"/>
    <x v="7"/>
    <x v="0"/>
    <s v="Cyber Security"/>
    <x v="6"/>
    <x v="1"/>
    <s v="03:00-04:00 PM"/>
    <s v="Ongoin"/>
    <x v="2"/>
    <x v="7"/>
    <x v="1"/>
  </r>
  <r>
    <s v="ADM0381"/>
    <x v="444"/>
    <s v="STU0381"/>
    <s v="Tanisha Ghelani"/>
    <d v="2004-02-11T00:00:00"/>
    <x v="0"/>
    <x v="0"/>
    <x v="8"/>
    <x v="1"/>
    <s v="Programming"/>
    <x v="7"/>
    <x v="1"/>
    <s v="06:00 - 07:00 PM"/>
    <s v="Ongoin"/>
    <x v="0"/>
    <x v="7"/>
    <x v="1"/>
  </r>
  <r>
    <s v="ADM0382"/>
    <x v="445"/>
    <s v="STU0382"/>
    <s v="Raghav Khorani"/>
    <d v="2005-07-24T00:00:00"/>
    <x v="3"/>
    <x v="9"/>
    <x v="9"/>
    <x v="2"/>
    <s v="Design"/>
    <x v="0"/>
    <x v="1"/>
    <s v="11:00-12:00  AM"/>
    <s v="Ongoin"/>
    <x v="2"/>
    <x v="7"/>
    <x v="1"/>
  </r>
  <r>
    <s v="ADM0018"/>
    <x v="446"/>
    <s v="STU0018"/>
    <s v="Tanish Pandya"/>
    <d v="2003-06-14T00:00:00"/>
    <x v="3"/>
    <x v="3"/>
    <x v="3"/>
    <x v="14"/>
    <s v="Data Analytics"/>
    <x v="4"/>
    <x v="0"/>
    <s v="03:00-04:00 PM"/>
    <s v="Ongoin"/>
    <x v="8"/>
    <x v="8"/>
    <x v="0"/>
  </r>
  <r>
    <s v="ADM0019"/>
    <x v="447"/>
    <s v="STU0019"/>
    <s v="Krisha Acharya"/>
    <d v="2004-09-29T00:00:00"/>
    <x v="1"/>
    <x v="1"/>
    <x v="11"/>
    <x v="13"/>
    <s v="Web Development"/>
    <x v="5"/>
    <x v="0"/>
    <s v="06:00 - 07:00 PM"/>
    <s v="Ongoin"/>
    <x v="0"/>
    <x v="8"/>
    <x v="0"/>
  </r>
  <r>
    <s v="ADM0020"/>
    <x v="448"/>
    <s v="STU0020"/>
    <s v="Ved Rawal"/>
    <d v="2005-02-06T00:00:00"/>
    <x v="2"/>
    <x v="2"/>
    <x v="2"/>
    <x v="15"/>
    <s v="Database"/>
    <x v="6"/>
    <x v="0"/>
    <s v="11:00-12:00  AM"/>
    <s v="Ongoin"/>
    <x v="2"/>
    <x v="8"/>
    <x v="0"/>
  </r>
  <r>
    <s v="ADM0021"/>
    <x v="449"/>
    <s v="STU0021"/>
    <s v="Jhanvi Thakkar"/>
    <d v="2003-10-10T00:00:00"/>
    <x v="3"/>
    <x v="3"/>
    <x v="6"/>
    <x v="8"/>
    <s v="Artificial Intelligence"/>
    <x v="7"/>
    <x v="0"/>
    <s v="10:00-11:00 AM"/>
    <s v="Ongoin"/>
    <x v="8"/>
    <x v="8"/>
    <x v="0"/>
  </r>
  <r>
    <s v="ADM0022"/>
    <x v="450"/>
    <s v="STU0022"/>
    <s v="Rohan Soni"/>
    <d v="2004-07-21T00:00:00"/>
    <x v="0"/>
    <x v="0"/>
    <x v="4"/>
    <x v="11"/>
    <s v="Programming"/>
    <x v="0"/>
    <x v="0"/>
    <s v="09:00 - 10:00 AM"/>
    <s v="Ongoin"/>
    <x v="0"/>
    <x v="8"/>
    <x v="0"/>
  </r>
  <r>
    <s v="ADM0023"/>
    <x v="451"/>
    <s v="STU0023"/>
    <s v="Aditi Chudasama"/>
    <d v="2005-04-05T00:00:00"/>
    <x v="6"/>
    <x v="6"/>
    <x v="10"/>
    <x v="12"/>
    <s v="Data Science"/>
    <x v="1"/>
    <x v="0"/>
    <s v="03:00-04:00 PM"/>
    <s v="Ongoin"/>
    <x v="2"/>
    <x v="8"/>
    <x v="0"/>
  </r>
  <r>
    <s v="ADM0024"/>
    <x v="452"/>
    <s v="STU0024"/>
    <s v="Nirav Mori"/>
    <d v="2003-12-18T00:00:00"/>
    <x v="3"/>
    <x v="3"/>
    <x v="9"/>
    <x v="13"/>
    <s v="Web Development"/>
    <x v="1"/>
    <x v="0"/>
    <s v="06:00 - 07:00 PM"/>
    <s v="Ongoin"/>
    <x v="0"/>
    <x v="8"/>
    <x v="0"/>
  </r>
  <r>
    <s v="ADM0025"/>
    <x v="453"/>
    <s v="STU0025"/>
    <s v="Shivani Gamit"/>
    <d v="2004-08-27T00:00:00"/>
    <x v="1"/>
    <x v="1"/>
    <x v="1"/>
    <x v="15"/>
    <s v="Database"/>
    <x v="1"/>
    <x v="0"/>
    <s v="11:00-12:00  AM"/>
    <s v="Ongoin"/>
    <x v="0"/>
    <x v="8"/>
    <x v="0"/>
  </r>
  <r>
    <s v="ADM0026"/>
    <x v="454"/>
    <s v="STU0026"/>
    <s v="Kushal Vasava"/>
    <d v="2002-01-01T00:00:00"/>
    <x v="8"/>
    <x v="8"/>
    <x v="15"/>
    <x v="8"/>
    <s v="Artificial Intelligence"/>
    <x v="1"/>
    <x v="0"/>
    <s v="10:00-11:00 AM"/>
    <s v="Ongoin"/>
    <x v="7"/>
    <x v="8"/>
    <x v="0"/>
  </r>
  <r>
    <s v="ADM0027"/>
    <x v="455"/>
    <s v="STU0027"/>
    <s v="Mira Chaudhary"/>
    <d v="2003-11-12T00:00:00"/>
    <x v="0"/>
    <x v="0"/>
    <x v="8"/>
    <x v="11"/>
    <s v="Programming"/>
    <x v="1"/>
    <x v="0"/>
    <s v="04:00-05:00 PM"/>
    <s v="Ongoin"/>
    <x v="0"/>
    <x v="8"/>
    <x v="0"/>
  </r>
  <r>
    <s v="ADM0028"/>
    <x v="456"/>
    <s v="STU0028"/>
    <s v="Devanshi Rabari"/>
    <d v="2004-05-09T00:00:00"/>
    <x v="3"/>
    <x v="3"/>
    <x v="12"/>
    <x v="14"/>
    <s v="Data Analytics"/>
    <x v="1"/>
    <x v="1"/>
    <s v="09:00-10:00 AM"/>
    <s v="Ongoin"/>
    <x v="0"/>
    <x v="8"/>
    <x v="0"/>
  </r>
  <r>
    <s v="ADM0029"/>
    <x v="457"/>
    <s v="STU0029"/>
    <s v="Harshit Bharwad"/>
    <d v="2005-02-24T00:00:00"/>
    <x v="4"/>
    <x v="4"/>
    <x v="5"/>
    <x v="13"/>
    <s v="Web Development"/>
    <x v="1"/>
    <x v="1"/>
    <s v="05:00- 06:00PM"/>
    <s v="Ongoin"/>
    <x v="2"/>
    <x v="8"/>
    <x v="0"/>
  </r>
  <r>
    <s v="ADM0030"/>
    <x v="458"/>
    <s v="STU0030"/>
    <s v="Aarav Prajapati"/>
    <d v="2003-09-16T00:00:00"/>
    <x v="0"/>
    <x v="0"/>
    <x v="17"/>
    <x v="15"/>
    <s v="Database"/>
    <x v="1"/>
    <x v="0"/>
    <s v="09:00 - 10:00 AM"/>
    <s v="Ongoin"/>
    <x v="8"/>
    <x v="8"/>
    <x v="0"/>
  </r>
  <r>
    <s v="ADM0031"/>
    <x v="459"/>
    <s v="STU0031"/>
    <s v="Vansh Bhuva"/>
    <d v="2004-01-20T00:00:00"/>
    <x v="3"/>
    <x v="3"/>
    <x v="18"/>
    <x v="12"/>
    <s v="Data Science"/>
    <x v="1"/>
    <x v="0"/>
    <s v="03:00-04:00 PM"/>
    <s v="Ongoin"/>
    <x v="0"/>
    <x v="8"/>
    <x v="0"/>
  </r>
  <r>
    <s v="ADM0032"/>
    <x v="460"/>
    <s v="STU0032"/>
    <s v="Disha Koli"/>
    <d v="2006-04-11T00:00:00"/>
    <x v="9"/>
    <x v="9"/>
    <x v="16"/>
    <x v="10"/>
    <s v="Artificial Intelligence"/>
    <x v="1"/>
    <x v="1"/>
    <s v="06:00 - 07:00 PM"/>
    <s v="Ongoin"/>
    <x v="5"/>
    <x v="8"/>
    <x v="0"/>
  </r>
  <r>
    <s v="ADM0033"/>
    <x v="461"/>
    <s v="STU0033"/>
    <s v="Parth Sarvaiya"/>
    <d v="2007-06-06T00:00:00"/>
    <x v="1"/>
    <x v="1"/>
    <x v="11"/>
    <x v="11"/>
    <s v="Programming"/>
    <x v="3"/>
    <x v="0"/>
    <s v="11:00-12:00  AM"/>
    <s v="Ongoin"/>
    <x v="3"/>
    <x v="8"/>
    <x v="0"/>
  </r>
  <r>
    <s v="ADM0034"/>
    <x v="462"/>
    <s v="STU0034"/>
    <s v="Saanvi Mandora"/>
    <d v="2009-02-17T00:00:00"/>
    <x v="3"/>
    <x v="3"/>
    <x v="19"/>
    <x v="14"/>
    <s v="Data Analytics"/>
    <x v="4"/>
    <x v="0"/>
    <s v="10:00-11:00 AM"/>
    <s v="Ongoin"/>
    <x v="6"/>
    <x v="8"/>
    <x v="0"/>
  </r>
  <r>
    <s v="ADM0035"/>
    <x v="463"/>
    <s v="STU0035"/>
    <s v="Kartik Khant"/>
    <d v="2003-12-29T00:00:00"/>
    <x v="0"/>
    <x v="0"/>
    <x v="20"/>
    <x v="13"/>
    <s v="Web Development"/>
    <x v="5"/>
    <x v="1"/>
    <s v="04:00-05:00 PM"/>
    <s v="Ongoin"/>
    <x v="0"/>
    <x v="8"/>
    <x v="0"/>
  </r>
  <r>
    <s v="ADM0036"/>
    <x v="464"/>
    <s v="STU0036"/>
    <s v="Niyati Dodiya"/>
    <d v="2005-03-08T00:00:00"/>
    <x v="7"/>
    <x v="7"/>
    <x v="13"/>
    <x v="15"/>
    <s v="Database"/>
    <x v="6"/>
    <x v="0"/>
    <s v="09:00-10:00 AM"/>
    <s v="Ongoin"/>
    <x v="2"/>
    <x v="8"/>
    <x v="0"/>
  </r>
  <r>
    <s v="ADM0037"/>
    <x v="465"/>
    <s v="STU0037"/>
    <s v="Soham Vankar"/>
    <d v="2004-07-14T00:00:00"/>
    <x v="3"/>
    <x v="3"/>
    <x v="14"/>
    <x v="8"/>
    <s v="Artificial Intelligence"/>
    <x v="6"/>
    <x v="1"/>
    <s v="05:00- 06:00PM"/>
    <s v="Ongoin"/>
    <x v="0"/>
    <x v="8"/>
    <x v="0"/>
  </r>
  <r>
    <s v="ADM0038"/>
    <x v="466"/>
    <s v="STU0038"/>
    <s v="Meera Sisodiya"/>
    <d v="2003-05-22T00:00:00"/>
    <x v="0"/>
    <x v="0"/>
    <x v="0"/>
    <x v="11"/>
    <s v="Programming"/>
    <x v="6"/>
    <x v="1"/>
    <s v="09:00 - 10:00 AM"/>
    <s v="Ongoin"/>
    <x v="8"/>
    <x v="8"/>
    <x v="0"/>
  </r>
  <r>
    <s v="ADM0039"/>
    <x v="467"/>
    <s v="STU0039"/>
    <s v="Ansh Tank"/>
    <d v="2005-09-09T00:00:00"/>
    <x v="1"/>
    <x v="1"/>
    <x v="1"/>
    <x v="12"/>
    <s v="Data Science"/>
    <x v="6"/>
    <x v="0"/>
    <s v="03:00-04:00 PM"/>
    <s v="Ongoin"/>
    <x v="2"/>
    <x v="8"/>
    <x v="0"/>
  </r>
  <r>
    <s v="ADM0040"/>
    <x v="468"/>
    <s v="STU0040"/>
    <s v="Pallavi Jani"/>
    <d v="2002-10-26T00:00:00"/>
    <x v="2"/>
    <x v="2"/>
    <x v="2"/>
    <x v="13"/>
    <s v="Web Development"/>
    <x v="6"/>
    <x v="0"/>
    <s v="06:00 - 07:00 PM"/>
    <s v="Ongoin"/>
    <x v="8"/>
    <x v="8"/>
    <x v="0"/>
  </r>
  <r>
    <s v="ADM0041"/>
    <x v="469"/>
    <s v="STU0041"/>
    <s v="Keshav Trivedi"/>
    <d v="2005-04-18T00:00:00"/>
    <x v="3"/>
    <x v="3"/>
    <x v="3"/>
    <x v="8"/>
    <s v="Artificial Intelligence"/>
    <x v="6"/>
    <x v="1"/>
    <s v="11:00-12:00  AM"/>
    <s v="Ongoin"/>
    <x v="2"/>
    <x v="8"/>
    <x v="0"/>
  </r>
  <r>
    <s v="ADM0042"/>
    <x v="470"/>
    <s v="STU0042"/>
    <s v="Rupal Vyas"/>
    <d v="2004-08-05T00:00:00"/>
    <x v="0"/>
    <x v="0"/>
    <x v="4"/>
    <x v="11"/>
    <s v="Programming"/>
    <x v="6"/>
    <x v="0"/>
    <s v="10:00-11:00 AM"/>
    <s v="Ongoin"/>
    <x v="0"/>
    <x v="8"/>
    <x v="0"/>
  </r>
  <r>
    <s v="ADM0043"/>
    <x v="471"/>
    <s v="STU0043"/>
    <s v="Manav Oza"/>
    <d v="2005-12-19T00:00:00"/>
    <x v="4"/>
    <x v="4"/>
    <x v="5"/>
    <x v="14"/>
    <s v="Data Analytics"/>
    <x v="5"/>
    <x v="0"/>
    <s v="09:00 - 10:00 AM"/>
    <s v="Ongoin"/>
    <x v="5"/>
    <x v="8"/>
    <x v="0"/>
  </r>
  <r>
    <s v="ADM0044"/>
    <x v="472"/>
    <s v="STU0044"/>
    <s v="Jinal Shukla"/>
    <d v="2004-03-27T00:00:00"/>
    <x v="3"/>
    <x v="3"/>
    <x v="6"/>
    <x v="13"/>
    <s v="Web Development"/>
    <x v="6"/>
    <x v="1"/>
    <s v="03:00-04:00 PM"/>
    <s v="Ongoin"/>
    <x v="0"/>
    <x v="8"/>
    <x v="0"/>
  </r>
  <r>
    <s v="ADM0045"/>
    <x v="473"/>
    <s v="STU0045"/>
    <s v="Aayush Pathak"/>
    <d v="2005-06-13T00:00:00"/>
    <x v="5"/>
    <x v="5"/>
    <x v="7"/>
    <x v="15"/>
    <s v="Database"/>
    <x v="7"/>
    <x v="0"/>
    <s v="06:00 - 07:00 PM"/>
    <s v="Ongoin"/>
    <x v="2"/>
    <x v="8"/>
    <x v="0"/>
  </r>
  <r>
    <s v="ADM0383"/>
    <x v="474"/>
    <s v="STU0383"/>
    <s v="Palak Padhiyar"/>
    <d v="2004-05-07T00:00:00"/>
    <x v="6"/>
    <x v="6"/>
    <x v="10"/>
    <x v="3"/>
    <s v="Design &amp; Video Editing"/>
    <x v="1"/>
    <x v="1"/>
    <s v="10:00-11:00 AM"/>
    <s v="Ongoin"/>
    <x v="0"/>
    <x v="8"/>
    <x v="1"/>
  </r>
  <r>
    <s v="ADM0384"/>
    <x v="475"/>
    <s v="STU0384"/>
    <s v="Anshuman Virda"/>
    <d v="2007-12-19T00:00:00"/>
    <x v="1"/>
    <x v="1"/>
    <x v="11"/>
    <x v="4"/>
    <s v="Graphic Design"/>
    <x v="2"/>
    <x v="1"/>
    <s v="04:00-05:00 PM"/>
    <s v="Ongoin"/>
    <x v="4"/>
    <x v="8"/>
    <x v="1"/>
  </r>
  <r>
    <s v="ADM0385"/>
    <x v="476"/>
    <s v="STU0385"/>
    <s v="Kritika Chotaliya"/>
    <d v="2004-04-16T00:00:00"/>
    <x v="3"/>
    <x v="3"/>
    <x v="12"/>
    <x v="5"/>
    <s v="Graphic Design"/>
    <x v="3"/>
    <x v="1"/>
    <s v="09:00-10:00 AM"/>
    <s v="Ongoin"/>
    <x v="0"/>
    <x v="8"/>
    <x v="1"/>
  </r>
  <r>
    <s v="ADM0386"/>
    <x v="477"/>
    <s v="STU0386"/>
    <s v="Shivangi Kachot"/>
    <d v="2005-08-03T00:00:00"/>
    <x v="7"/>
    <x v="7"/>
    <x v="13"/>
    <x v="6"/>
    <s v="Graphic Design"/>
    <x v="4"/>
    <x v="1"/>
    <s v="05:00- 06:00PM"/>
    <s v="Ongoin"/>
    <x v="2"/>
    <x v="8"/>
    <x v="1"/>
  </r>
  <r>
    <s v="ADM0387"/>
    <x v="478"/>
    <s v="STU0387"/>
    <s v="Abhinandan Vaghasiya"/>
    <d v="2004-11-22T00:00:00"/>
    <x v="3"/>
    <x v="3"/>
    <x v="14"/>
    <x v="7"/>
    <s v="UI/UX Design"/>
    <x v="5"/>
    <x v="1"/>
    <s v="09:00 - 10:00 AM"/>
    <s v="Ongoin"/>
    <x v="2"/>
    <x v="8"/>
    <x v="1"/>
  </r>
  <r>
    <s v="ADM0388"/>
    <x v="479"/>
    <s v="STU0388"/>
    <s v="Ritika Pansuriya"/>
    <d v="2005-02-14T00:00:00"/>
    <x v="7"/>
    <x v="7"/>
    <x v="13"/>
    <x v="8"/>
    <s v="AI &amp; Data Science"/>
    <x v="6"/>
    <x v="1"/>
    <s v="03:00-04:00 PM"/>
    <s v="Ongoin"/>
    <x v="2"/>
    <x v="8"/>
    <x v="1"/>
  </r>
  <r>
    <s v="ADM0389"/>
    <x v="480"/>
    <s v="STU0389"/>
    <s v="Prateek Lathiya"/>
    <d v="2004-09-05T00:00:00"/>
    <x v="3"/>
    <x v="3"/>
    <x v="14"/>
    <x v="9"/>
    <s v="Game Development"/>
    <x v="7"/>
    <x v="1"/>
    <s v="06:00 - 07:00 PM"/>
    <s v="Ongoin"/>
    <x v="0"/>
    <x v="8"/>
    <x v="1"/>
  </r>
  <r>
    <s v="ADM0390"/>
    <x v="481"/>
    <s v="STU0390"/>
    <s v="Garvit Jethwa"/>
    <d v="2005-01-27T00:00:00"/>
    <x v="0"/>
    <x v="0"/>
    <x v="0"/>
    <x v="0"/>
    <s v="Cyber Security"/>
    <x v="0"/>
    <x v="1"/>
    <s v="11:00-12:00  AM"/>
    <s v="Ongoin"/>
    <x v="2"/>
    <x v="8"/>
    <x v="1"/>
  </r>
  <r>
    <s v="ADM0391"/>
    <x v="482"/>
    <s v="STU0391"/>
    <s v="Muskan Dhanani"/>
    <d v="2004-06-18T00:00:00"/>
    <x v="1"/>
    <x v="1"/>
    <x v="1"/>
    <x v="1"/>
    <s v="Programming"/>
    <x v="1"/>
    <x v="1"/>
    <s v="10:00-11:00 AM"/>
    <s v="Ongoin"/>
    <x v="0"/>
    <x v="8"/>
    <x v="1"/>
  </r>
  <r>
    <s v="ADM0392"/>
    <x v="483"/>
    <s v="STU0392"/>
    <s v="Yashwant Kharva"/>
    <d v="2006-12-10T00:00:00"/>
    <x v="2"/>
    <x v="2"/>
    <x v="2"/>
    <x v="2"/>
    <s v="Design"/>
    <x v="2"/>
    <x v="1"/>
    <s v="04:00-05:00 PM"/>
    <s v="Ongoin"/>
    <x v="3"/>
    <x v="8"/>
    <x v="1"/>
  </r>
  <r>
    <s v="ADM0393"/>
    <x v="484"/>
    <s v="STU0393"/>
    <s v="Anurag Gajera"/>
    <d v="2004-04-23T00:00:00"/>
    <x v="3"/>
    <x v="3"/>
    <x v="3"/>
    <x v="3"/>
    <s v="Design &amp; Video Editing"/>
    <x v="3"/>
    <x v="1"/>
    <s v="09:00-10:00 AM"/>
    <s v="Ongoin"/>
    <x v="0"/>
    <x v="8"/>
    <x v="1"/>
  </r>
  <r>
    <s v="ADM0394"/>
    <x v="485"/>
    <s v="STU0394"/>
    <s v="Divyanshi Gadhiya"/>
    <d v="2005-07-06T00:00:00"/>
    <x v="0"/>
    <x v="0"/>
    <x v="4"/>
    <x v="4"/>
    <s v="Graphic Design"/>
    <x v="4"/>
    <x v="1"/>
    <s v="05:00- 06:00PM"/>
    <s v="Ongoin"/>
    <x v="2"/>
    <x v="8"/>
    <x v="1"/>
  </r>
  <r>
    <s v="ADM0395"/>
    <x v="486"/>
    <s v="STU0395"/>
    <s v="Naman Chikani"/>
    <d v="2004-08-31T00:00:00"/>
    <x v="4"/>
    <x v="4"/>
    <x v="5"/>
    <x v="5"/>
    <s v="Graphic Design"/>
    <x v="5"/>
    <x v="1"/>
    <s v="09:00 - 10:00 AM"/>
    <s v="Ongoin"/>
    <x v="0"/>
    <x v="8"/>
    <x v="1"/>
  </r>
  <r>
    <s v="ADM0396"/>
    <x v="487"/>
    <s v="STU0396"/>
    <s v="Ishika Bhadarka"/>
    <d v="2005-03-12T00:00:00"/>
    <x v="3"/>
    <x v="3"/>
    <x v="6"/>
    <x v="6"/>
    <s v="Graphic Design"/>
    <x v="6"/>
    <x v="1"/>
    <s v="03:00-04:00 PM"/>
    <s v="Ongoin"/>
    <x v="2"/>
    <x v="8"/>
    <x v="1"/>
  </r>
  <r>
    <s v="ADM0397"/>
    <x v="488"/>
    <s v="STU0397"/>
    <s v="Aarav Bhalani"/>
    <d v="2004-01-09T00:00:00"/>
    <x v="5"/>
    <x v="5"/>
    <x v="7"/>
    <x v="7"/>
    <s v="UI/UX Design"/>
    <x v="7"/>
    <x v="1"/>
    <s v="06:00 - 07:00 PM"/>
    <s v="Ongoin"/>
    <x v="0"/>
    <x v="8"/>
    <x v="1"/>
  </r>
  <r>
    <s v="ADM0398"/>
    <x v="489"/>
    <s v="STU0398"/>
    <s v="Mehak Kankot"/>
    <d v="2005-06-25T00:00:00"/>
    <x v="0"/>
    <x v="0"/>
    <x v="8"/>
    <x v="8"/>
    <s v="AI &amp; Data Science"/>
    <x v="0"/>
    <x v="1"/>
    <s v="11:00-12:00  AM"/>
    <s v="Ongoin"/>
    <x v="2"/>
    <x v="8"/>
    <x v="1"/>
  </r>
  <r>
    <s v="ADM0399"/>
    <x v="490"/>
    <s v="STU0399"/>
    <s v="Ishaan Khandhediya"/>
    <d v="2004-05-17T00:00:00"/>
    <x v="3"/>
    <x v="3"/>
    <x v="9"/>
    <x v="9"/>
    <s v="Game Development"/>
    <x v="1"/>
    <x v="1"/>
    <s v="10:00-11:00 AM"/>
    <s v="Ongoin"/>
    <x v="0"/>
    <x v="8"/>
    <x v="1"/>
  </r>
  <r>
    <s v="ADM0400"/>
    <x v="491"/>
    <s v="STU0400"/>
    <s v="Tanisha Gajipara"/>
    <d v="2005-10-02T00:00:00"/>
    <x v="6"/>
    <x v="6"/>
    <x v="10"/>
    <x v="0"/>
    <s v="Cyber Security"/>
    <x v="2"/>
    <x v="1"/>
    <s v="09:00 - 10:00 AM"/>
    <s v="Ongoin"/>
    <x v="2"/>
    <x v="8"/>
    <x v="1"/>
  </r>
  <r>
    <s v="ADM0401"/>
    <x v="492"/>
    <s v="STU0401"/>
    <s v="Raghav Kothiya"/>
    <d v="2004-12-28T00:00:00"/>
    <x v="1"/>
    <x v="1"/>
    <x v="11"/>
    <x v="1"/>
    <s v="Programming"/>
    <x v="3"/>
    <x v="1"/>
    <s v="03:00-04:00 PM"/>
    <s v="Ongoin"/>
    <x v="2"/>
    <x v="8"/>
    <x v="1"/>
  </r>
  <r>
    <s v="ADM0402"/>
    <x v="493"/>
    <s v="STU0402"/>
    <s v="Palak Sondarva"/>
    <d v="2005-04-13T00:00:00"/>
    <x v="3"/>
    <x v="3"/>
    <x v="12"/>
    <x v="2"/>
    <s v="Design"/>
    <x v="4"/>
    <x v="1"/>
    <s v="06:00 - 07:00 PM"/>
    <s v="Ongoin"/>
    <x v="2"/>
    <x v="8"/>
    <x v="1"/>
  </r>
  <r>
    <s v="ADM0403"/>
    <x v="494"/>
    <s v="STU0403"/>
    <s v="Anshuman Dalsaniya"/>
    <d v="2004-07-04T00:00:00"/>
    <x v="7"/>
    <x v="7"/>
    <x v="13"/>
    <x v="3"/>
    <s v="Design &amp; Video Editing"/>
    <x v="5"/>
    <x v="1"/>
    <s v="11:00-12:00  AM"/>
    <s v="Ongoin"/>
    <x v="0"/>
    <x v="8"/>
    <x v="1"/>
  </r>
  <r>
    <s v="ADM0404"/>
    <x v="495"/>
    <s v="STU0404"/>
    <s v="Kritika Dhadhal"/>
    <d v="2002-11-21T00:00:00"/>
    <x v="3"/>
    <x v="3"/>
    <x v="14"/>
    <x v="4"/>
    <s v="Graphic Design"/>
    <x v="6"/>
    <x v="1"/>
    <s v="10:00-11:00 AM"/>
    <s v="Ongoin"/>
    <x v="8"/>
    <x v="8"/>
    <x v="1"/>
  </r>
  <r>
    <s v="ADM0405"/>
    <x v="496"/>
    <s v="STU0405"/>
    <s v="Shivangi Karmur"/>
    <d v="2004-01-15T00:00:00"/>
    <x v="0"/>
    <x v="0"/>
    <x v="0"/>
    <x v="5"/>
    <s v="Graphic Design"/>
    <x v="7"/>
    <x v="1"/>
    <s v="04:00-05:00 PM"/>
    <s v="Ongoin"/>
    <x v="0"/>
    <x v="8"/>
    <x v="1"/>
  </r>
  <r>
    <s v="ADM0406"/>
    <x v="497"/>
    <s v="STU0406"/>
    <s v="Abhinandan Khunt"/>
    <d v="2005-05-30T00:00:00"/>
    <x v="1"/>
    <x v="1"/>
    <x v="1"/>
    <x v="6"/>
    <s v="Graphic Design"/>
    <x v="0"/>
    <x v="1"/>
    <s v="09:00-10:00 AM"/>
    <s v="Ongoin"/>
    <x v="2"/>
    <x v="8"/>
    <x v="1"/>
  </r>
  <r>
    <s v="ADM0407"/>
    <x v="498"/>
    <s v="STU0407"/>
    <s v="Ritika Vachhani"/>
    <d v="2004-10-08T00:00:00"/>
    <x v="2"/>
    <x v="2"/>
    <x v="2"/>
    <x v="7"/>
    <s v="UI/UX Design"/>
    <x v="1"/>
    <x v="1"/>
    <s v="05:00- 06:00PM"/>
    <s v="Ongoin"/>
    <x v="0"/>
    <x v="8"/>
    <x v="1"/>
  </r>
  <r>
    <s v="ADM0408"/>
    <x v="499"/>
    <s v="STU0408"/>
    <s v="Prateek Boricha"/>
    <d v="2005-02-19T00:00:00"/>
    <x v="3"/>
    <x v="3"/>
    <x v="3"/>
    <x v="8"/>
    <s v="AI &amp; Data Science"/>
    <x v="2"/>
    <x v="1"/>
    <s v="09:00 - 10:00 AM"/>
    <s v="Ongoin"/>
    <x v="2"/>
    <x v="8"/>
    <x v="1"/>
  </r>
  <r>
    <s v="ADM0409"/>
    <x v="500"/>
    <s v="STU0409"/>
    <s v="Garvit Dholariya"/>
    <d v="2004-03-26T00:00:00"/>
    <x v="0"/>
    <x v="0"/>
    <x v="4"/>
    <x v="9"/>
    <s v="Game Development"/>
    <x v="3"/>
    <x v="1"/>
    <s v="03:00-04:00 PM"/>
    <s v="Ongoin"/>
    <x v="0"/>
    <x v="8"/>
    <x v="1"/>
  </r>
  <r>
    <s v="ADM0410"/>
    <x v="501"/>
    <s v="STU0410"/>
    <s v="Muskan Jivani"/>
    <d v="2005-09-11T00:00:00"/>
    <x v="4"/>
    <x v="4"/>
    <x v="5"/>
    <x v="0"/>
    <s v="Cyber Security"/>
    <x v="4"/>
    <x v="1"/>
    <s v="06:00 - 07:00 PM"/>
    <s v="Ongoin"/>
    <x v="2"/>
    <x v="8"/>
    <x v="1"/>
  </r>
  <r>
    <s v="ADM0321"/>
    <x v="502"/>
    <s v="STU0321"/>
    <s v="Bharat Dhanani"/>
    <d v="2006-03-08T00:00:00"/>
    <x v="3"/>
    <x v="3"/>
    <x v="12"/>
    <x v="1"/>
    <s v="Programming"/>
    <x v="3"/>
    <x v="1"/>
    <s v="04:00-05:00 PM"/>
    <s v="Ongoin"/>
    <x v="5"/>
    <x v="9"/>
    <x v="0"/>
  </r>
  <r>
    <s v="ADM0322"/>
    <x v="503"/>
    <s v="STU0322"/>
    <s v="Kiran Kharva"/>
    <d v="2005-07-17T00:00:00"/>
    <x v="7"/>
    <x v="7"/>
    <x v="13"/>
    <x v="2"/>
    <s v="Design"/>
    <x v="4"/>
    <x v="1"/>
    <s v="09:00-10:00 AM"/>
    <s v="Ongoin"/>
    <x v="2"/>
    <x v="9"/>
    <x v="0"/>
  </r>
  <r>
    <s v="ADM0323"/>
    <x v="504"/>
    <s v="STU0323"/>
    <s v="Prakash Gajera"/>
    <d v="2004-10-24T00:00:00"/>
    <x v="3"/>
    <x v="3"/>
    <x v="14"/>
    <x v="3"/>
    <s v="Design &amp; Video Editing"/>
    <x v="5"/>
    <x v="1"/>
    <s v="05:00- 06:00PM"/>
    <s v="Ongoin"/>
    <x v="2"/>
    <x v="9"/>
    <x v="0"/>
  </r>
  <r>
    <s v="ADM0324"/>
    <x v="505"/>
    <s v="STU0324"/>
    <s v="Manju Gadhiya"/>
    <d v="2005-02-05T00:00:00"/>
    <x v="7"/>
    <x v="7"/>
    <x v="13"/>
    <x v="4"/>
    <s v="Graphic Design"/>
    <x v="6"/>
    <x v="1"/>
    <s v="09:00 - 10:00 AM"/>
    <s v="Ongoin"/>
    <x v="2"/>
    <x v="9"/>
    <x v="0"/>
  </r>
  <r>
    <s v="ADM0325"/>
    <x v="506"/>
    <s v="STU0325"/>
    <s v="Uday Chikani"/>
    <d v="2004-05-11T00:00:00"/>
    <x v="3"/>
    <x v="3"/>
    <x v="14"/>
    <x v="5"/>
    <s v="Graphic Design"/>
    <x v="7"/>
    <x v="1"/>
    <s v="03:00-04:00 PM"/>
    <s v="Ongoin"/>
    <x v="0"/>
    <x v="9"/>
    <x v="0"/>
  </r>
  <r>
    <s v="ADM0326"/>
    <x v="507"/>
    <s v="STU0326"/>
    <s v="Sanjana Bhadarka"/>
    <d v="2005-09-26T00:00:00"/>
    <x v="0"/>
    <x v="0"/>
    <x v="0"/>
    <x v="6"/>
    <s v="Graphic Design"/>
    <x v="0"/>
    <x v="1"/>
    <s v="06:00 - 07:00 PM"/>
    <s v="Ongoin"/>
    <x v="2"/>
    <x v="9"/>
    <x v="0"/>
  </r>
  <r>
    <s v="ADM0327"/>
    <x v="508"/>
    <s v="STU0327"/>
    <s v="Ravindra Bhalani"/>
    <d v="2004-12-03T00:00:00"/>
    <x v="1"/>
    <x v="1"/>
    <x v="1"/>
    <x v="7"/>
    <s v="UI/UX Design"/>
    <x v="1"/>
    <x v="1"/>
    <s v="11:00-12:00  AM"/>
    <s v="Ongoin"/>
    <x v="2"/>
    <x v="9"/>
    <x v="0"/>
  </r>
  <r>
    <s v="ADM0328"/>
    <x v="509"/>
    <s v="STU0328"/>
    <s v="Anupama Kankot"/>
    <d v="2005-04-19T00:00:00"/>
    <x v="2"/>
    <x v="2"/>
    <x v="2"/>
    <x v="8"/>
    <s v="AI &amp; Data Science"/>
    <x v="2"/>
    <x v="1"/>
    <s v="10:00-11:00 AM"/>
    <s v="Ongoin"/>
    <x v="2"/>
    <x v="9"/>
    <x v="0"/>
  </r>
  <r>
    <s v="ADM0329"/>
    <x v="510"/>
    <s v="STU0329"/>
    <s v="Jitendra Khandhediya"/>
    <d v="2004-08-15T00:00:00"/>
    <x v="3"/>
    <x v="3"/>
    <x v="3"/>
    <x v="9"/>
    <s v="Game Development"/>
    <x v="3"/>
    <x v="1"/>
    <s v="04:00-05:00 PM"/>
    <s v="Ongoin"/>
    <x v="0"/>
    <x v="9"/>
    <x v="0"/>
  </r>
  <r>
    <s v="ADM0330"/>
    <x v="511"/>
    <s v="STU0330"/>
    <s v="Madhuri Gajipara"/>
    <d v="2005-11-07T00:00:00"/>
    <x v="0"/>
    <x v="0"/>
    <x v="4"/>
    <x v="0"/>
    <s v="Cyber Security"/>
    <x v="4"/>
    <x v="1"/>
    <s v="09:00-10:00 AM"/>
    <s v="Ongoin"/>
    <x v="5"/>
    <x v="9"/>
    <x v="0"/>
  </r>
  <r>
    <s v="ADM0331"/>
    <x v="512"/>
    <s v="STU0331"/>
    <s v="Kamal Kothiya"/>
    <d v="2004-02-22T00:00:00"/>
    <x v="4"/>
    <x v="4"/>
    <x v="5"/>
    <x v="1"/>
    <s v="Programming"/>
    <x v="5"/>
    <x v="1"/>
    <s v="05:00- 06:00PM"/>
    <s v="Ongoin"/>
    <x v="0"/>
    <x v="9"/>
    <x v="0"/>
  </r>
  <r>
    <s v="ADM0332"/>
    <x v="513"/>
    <s v="STU0332"/>
    <s v="Asha Sondarva"/>
    <d v="2007-06-14T00:00:00"/>
    <x v="3"/>
    <x v="3"/>
    <x v="6"/>
    <x v="2"/>
    <s v="Design"/>
    <x v="6"/>
    <x v="1"/>
    <s v="09:00 - 10:00 AM"/>
    <s v="Ongoin"/>
    <x v="3"/>
    <x v="9"/>
    <x v="0"/>
  </r>
  <r>
    <s v="ADM0333"/>
    <x v="514"/>
    <s v="STU0333"/>
    <s v="Rituraj Dalsaniya"/>
    <d v="2004-03-30T00:00:00"/>
    <x v="5"/>
    <x v="5"/>
    <x v="7"/>
    <x v="3"/>
    <s v="Design &amp; Video Editing"/>
    <x v="7"/>
    <x v="1"/>
    <s v="03:00-04:00 PM"/>
    <s v="Ongoin"/>
    <x v="0"/>
    <x v="9"/>
    <x v="0"/>
  </r>
  <r>
    <s v="ADM0334"/>
    <x v="515"/>
    <s v="STU0334"/>
    <s v="Sonal Dhadhal"/>
    <d v="2005-10-09T00:00:00"/>
    <x v="0"/>
    <x v="0"/>
    <x v="8"/>
    <x v="4"/>
    <s v="Graphic Design"/>
    <x v="0"/>
    <x v="1"/>
    <s v="06:00 - 07:00 PM"/>
    <s v="Ongoin"/>
    <x v="2"/>
    <x v="9"/>
    <x v="0"/>
  </r>
  <r>
    <s v="ADM0335"/>
    <x v="516"/>
    <s v="STU0335"/>
    <s v="Chandan Karmur"/>
    <d v="2004-01-18T00:00:00"/>
    <x v="3"/>
    <x v="3"/>
    <x v="9"/>
    <x v="5"/>
    <s v="Graphic Design"/>
    <x v="1"/>
    <x v="1"/>
    <s v="11:00-12:00  AM"/>
    <s v="Ongoin"/>
    <x v="0"/>
    <x v="9"/>
    <x v="0"/>
  </r>
  <r>
    <s v="ADM0336"/>
    <x v="517"/>
    <s v="STU0336"/>
    <s v="Nirmala Khunt"/>
    <d v="2005-05-25T00:00:00"/>
    <x v="6"/>
    <x v="6"/>
    <x v="10"/>
    <x v="6"/>
    <s v="Graphic Design"/>
    <x v="2"/>
    <x v="1"/>
    <s v="10:00-11:00 AM"/>
    <s v="Ongoin"/>
    <x v="2"/>
    <x v="9"/>
    <x v="0"/>
  </r>
  <r>
    <s v="ADM0337"/>
    <x v="518"/>
    <s v="STU0337"/>
    <s v="Vasudha Vachhani"/>
    <d v="2004-07-02T00:00:00"/>
    <x v="1"/>
    <x v="1"/>
    <x v="11"/>
    <x v="7"/>
    <s v="UI/UX Design"/>
    <x v="3"/>
    <x v="1"/>
    <s v="09:00 - 10:00 AM"/>
    <s v="Ongoin"/>
    <x v="0"/>
    <x v="9"/>
    <x v="0"/>
  </r>
  <r>
    <s v="ADM0338"/>
    <x v="519"/>
    <s v="STU0338"/>
    <s v="Satyam Boricha"/>
    <d v="2005-12-16T00:00:00"/>
    <x v="3"/>
    <x v="3"/>
    <x v="12"/>
    <x v="8"/>
    <s v="AI &amp; Data Science"/>
    <x v="4"/>
    <x v="1"/>
    <s v="03:00-04:00 PM"/>
    <s v="Ongoin"/>
    <x v="5"/>
    <x v="9"/>
    <x v="0"/>
  </r>
  <r>
    <s v="ADM0339"/>
    <x v="520"/>
    <s v="STU0339"/>
    <s v="Aarav Dholariya"/>
    <d v="2004-04-27T00:00:00"/>
    <x v="7"/>
    <x v="7"/>
    <x v="13"/>
    <x v="9"/>
    <s v="Game Development"/>
    <x v="5"/>
    <x v="1"/>
    <s v="06:00 - 07:00 PM"/>
    <s v="Ongoin"/>
    <x v="0"/>
    <x v="9"/>
    <x v="0"/>
  </r>
  <r>
    <s v="ADM0340"/>
    <x v="521"/>
    <s v="STU0340"/>
    <s v="Mehak Jivani"/>
    <d v="2005-09-08T00:00:00"/>
    <x v="3"/>
    <x v="3"/>
    <x v="14"/>
    <x v="0"/>
    <s v="Cyber Security"/>
    <x v="6"/>
    <x v="1"/>
    <s v="11:00-12:00  AM"/>
    <s v="Ongoin"/>
    <x v="2"/>
    <x v="9"/>
    <x v="0"/>
  </r>
  <r>
    <s v="ADM0341"/>
    <x v="522"/>
    <s v="STU0341"/>
    <s v="Ishaan Mavani"/>
    <d v="2004-11-12T00:00:00"/>
    <x v="0"/>
    <x v="0"/>
    <x v="0"/>
    <x v="1"/>
    <s v="Programming"/>
    <x v="7"/>
    <x v="1"/>
    <s v="10:00-11:00 AM"/>
    <s v="Ongoin"/>
    <x v="2"/>
    <x v="9"/>
    <x v="0"/>
  </r>
  <r>
    <s v="ADM0342"/>
    <x v="523"/>
    <s v="STU0342"/>
    <s v="Tanisha Ramani"/>
    <d v="2005-03-23T00:00:00"/>
    <x v="1"/>
    <x v="1"/>
    <x v="1"/>
    <x v="2"/>
    <s v="Design"/>
    <x v="0"/>
    <x v="1"/>
    <s v="04:00-05:00 PM"/>
    <s v="Ongoin"/>
    <x v="2"/>
    <x v="9"/>
    <x v="0"/>
  </r>
  <r>
    <s v="ADM0343"/>
    <x v="524"/>
    <s v="STU0343"/>
    <s v="Raghav Vekariya"/>
    <d v="2004-05-04T00:00:00"/>
    <x v="2"/>
    <x v="2"/>
    <x v="2"/>
    <x v="3"/>
    <s v="Design &amp; Video Editing"/>
    <x v="1"/>
    <x v="1"/>
    <s v="09:00-10:00 AM"/>
    <s v="Ongoin"/>
    <x v="0"/>
    <x v="9"/>
    <x v="0"/>
  </r>
  <r>
    <s v="ADM0344"/>
    <x v="525"/>
    <s v="STU0344"/>
    <s v="Palak Savani"/>
    <d v="2008-08-20T00:00:00"/>
    <x v="3"/>
    <x v="3"/>
    <x v="3"/>
    <x v="4"/>
    <s v="Graphic Design"/>
    <x v="2"/>
    <x v="1"/>
    <s v="05:00- 06:00PM"/>
    <s v="Ongoin"/>
    <x v="4"/>
    <x v="9"/>
    <x v="0"/>
  </r>
  <r>
    <s v="ADM0345"/>
    <x v="526"/>
    <s v="STU0345"/>
    <s v="Anshuman Keshwala"/>
    <d v="2004-01-31T00:00:00"/>
    <x v="0"/>
    <x v="0"/>
    <x v="4"/>
    <x v="5"/>
    <s v="Graphic Design"/>
    <x v="3"/>
    <x v="1"/>
    <s v="09:00 - 10:00 AM"/>
    <s v="Ongoin"/>
    <x v="0"/>
    <x v="9"/>
    <x v="0"/>
  </r>
  <r>
    <s v="ADM0346"/>
    <x v="527"/>
    <s v="STU0346"/>
    <s v="Kritika Ghelani"/>
    <d v="2005-06-10T00:00:00"/>
    <x v="4"/>
    <x v="4"/>
    <x v="5"/>
    <x v="6"/>
    <s v="Graphic Design"/>
    <x v="4"/>
    <x v="1"/>
    <s v="03:00-04:00 PM"/>
    <s v="Ongoin"/>
    <x v="2"/>
    <x v="9"/>
    <x v="0"/>
  </r>
  <r>
    <s v="ADM0347"/>
    <x v="528"/>
    <s v="STU0347"/>
    <s v="Shivangi Khorani"/>
    <d v="2004-10-17T00:00:00"/>
    <x v="3"/>
    <x v="3"/>
    <x v="6"/>
    <x v="7"/>
    <s v="UI/UX Design"/>
    <x v="5"/>
    <x v="1"/>
    <s v="06:00 - 07:00 PM"/>
    <s v="Ongoin"/>
    <x v="2"/>
    <x v="9"/>
    <x v="0"/>
  </r>
  <r>
    <s v="ADM0348"/>
    <x v="529"/>
    <s v="STU0348"/>
    <s v="Abhinandan Padhiyar"/>
    <d v="2005-02-28T00:00:00"/>
    <x v="5"/>
    <x v="5"/>
    <x v="7"/>
    <x v="8"/>
    <s v="AI &amp; Data Science"/>
    <x v="6"/>
    <x v="1"/>
    <s v="11:00-12:00  AM"/>
    <s v="Ongoin"/>
    <x v="2"/>
    <x v="9"/>
    <x v="0"/>
  </r>
  <r>
    <s v="ADM0349"/>
    <x v="530"/>
    <s v="STU0349"/>
    <s v="Ritika Virda"/>
    <d v="2004-04-06T00:00:00"/>
    <x v="0"/>
    <x v="0"/>
    <x v="8"/>
    <x v="9"/>
    <s v="Game Development"/>
    <x v="7"/>
    <x v="1"/>
    <s v="10:00-11:00 AM"/>
    <s v="Ongoin"/>
    <x v="0"/>
    <x v="9"/>
    <x v="0"/>
  </r>
  <r>
    <s v="ADM0350"/>
    <x v="531"/>
    <s v="STU0350"/>
    <s v="Prateek Chotaliya"/>
    <d v="2005-09-15T00:00:00"/>
    <x v="3"/>
    <x v="3"/>
    <x v="9"/>
    <x v="0"/>
    <s v="Cyber Security"/>
    <x v="0"/>
    <x v="0"/>
    <s v="04:00-05:00 PM"/>
    <s v="Ongoin"/>
    <x v="2"/>
    <x v="9"/>
    <x v="0"/>
  </r>
  <r>
    <s v="ADM0351"/>
    <x v="532"/>
    <s v="STU0351"/>
    <s v="Garvit Kachot"/>
    <d v="2004-12-24T00:00:00"/>
    <x v="6"/>
    <x v="6"/>
    <x v="10"/>
    <x v="1"/>
    <s v="Programming"/>
    <x v="1"/>
    <x v="0"/>
    <s v="09:00-10:00 AM"/>
    <s v="Ongoin"/>
    <x v="2"/>
    <x v="9"/>
    <x v="0"/>
  </r>
  <r>
    <s v="ADM0199"/>
    <x v="533"/>
    <s v="STU0199"/>
    <s v="Krupa Kansara"/>
    <d v="2004-10-07T00:00:00"/>
    <x v="1"/>
    <x v="1"/>
    <x v="1"/>
    <x v="9"/>
    <s v="Game Development"/>
    <x v="1"/>
    <x v="0"/>
    <s v="03:00-04:00 PM"/>
    <s v="Ongoin"/>
    <x v="0"/>
    <x v="10"/>
    <x v="0"/>
  </r>
  <r>
    <s v="ADM0200"/>
    <x v="534"/>
    <s v="STU0200"/>
    <s v="Harshil Salvi"/>
    <d v="2005-12-19T00:00:00"/>
    <x v="2"/>
    <x v="2"/>
    <x v="2"/>
    <x v="0"/>
    <s v="Cyber Security"/>
    <x v="2"/>
    <x v="0"/>
    <s v="06:00 - 07:00 PM"/>
    <s v="Ongoin"/>
    <x v="5"/>
    <x v="10"/>
    <x v="0"/>
  </r>
  <r>
    <s v="ADM0201"/>
    <x v="535"/>
    <s v="STU0201"/>
    <s v="Mona Suthar"/>
    <d v="2004-02-13T00:00:00"/>
    <x v="3"/>
    <x v="3"/>
    <x v="3"/>
    <x v="1"/>
    <s v="Programming"/>
    <x v="3"/>
    <x v="0"/>
    <s v="11:00-12:00  AM"/>
    <s v="Ongoin"/>
    <x v="0"/>
    <x v="10"/>
    <x v="0"/>
  </r>
  <r>
    <s v="ADM0202"/>
    <x v="536"/>
    <s v="STU0202"/>
    <s v="Naitik Kumbhar"/>
    <d v="2005-06-24T00:00:00"/>
    <x v="0"/>
    <x v="0"/>
    <x v="4"/>
    <x v="2"/>
    <s v="Design"/>
    <x v="4"/>
    <x v="0"/>
    <s v="10:00-11:00 AM"/>
    <s v="Ongoin"/>
    <x v="2"/>
    <x v="10"/>
    <x v="0"/>
  </r>
  <r>
    <s v="ADM0203"/>
    <x v="537"/>
    <s v="STU0203"/>
    <s v="Rachna Choksi"/>
    <d v="2006-05-31T00:00:00"/>
    <x v="4"/>
    <x v="4"/>
    <x v="5"/>
    <x v="3"/>
    <s v="Design &amp; Video Editing"/>
    <x v="5"/>
    <x v="0"/>
    <s v="04:00-05:00 PM"/>
    <s v="Ongoin"/>
    <x v="5"/>
    <x v="10"/>
    <x v="0"/>
  </r>
  <r>
    <s v="ADM0204"/>
    <x v="538"/>
    <s v="STU0204"/>
    <s v="Tejas Bhimani"/>
    <d v="2007-11-03T00:00:00"/>
    <x v="3"/>
    <x v="3"/>
    <x v="6"/>
    <x v="4"/>
    <s v="Graphic Design"/>
    <x v="6"/>
    <x v="0"/>
    <s v="09:00-10:00 AM"/>
    <s v="Ongoin"/>
    <x v="4"/>
    <x v="10"/>
    <x v="0"/>
  </r>
  <r>
    <s v="ADM0205"/>
    <x v="539"/>
    <s v="STU0205"/>
    <s v="Nirali Gajjar"/>
    <d v="2004-08-10T00:00:00"/>
    <x v="5"/>
    <x v="5"/>
    <x v="7"/>
    <x v="5"/>
    <s v="Graphic Design"/>
    <x v="7"/>
    <x v="0"/>
    <s v="05:00- 06:00PM"/>
    <s v="Ongoin"/>
    <x v="0"/>
    <x v="10"/>
    <x v="0"/>
  </r>
  <r>
    <s v="ADM0206"/>
    <x v="540"/>
    <s v="STU0206"/>
    <s v="Nidhi Lakhatar"/>
    <d v="2005-03-26T00:00:00"/>
    <x v="0"/>
    <x v="0"/>
    <x v="8"/>
    <x v="6"/>
    <s v="Graphic Design"/>
    <x v="0"/>
    <x v="0"/>
    <s v="09:00 - 10:00 AM"/>
    <s v="Ongoin"/>
    <x v="2"/>
    <x v="10"/>
    <x v="0"/>
  </r>
  <r>
    <s v="ADM0207"/>
    <x v="541"/>
    <s v="STU0207"/>
    <s v="Rohit Virani"/>
    <d v="2004-12-15T00:00:00"/>
    <x v="3"/>
    <x v="3"/>
    <x v="9"/>
    <x v="7"/>
    <s v="UI/UX Design"/>
    <x v="1"/>
    <x v="0"/>
    <s v="03:00-04:00 PM"/>
    <s v="Ongoin"/>
    <x v="2"/>
    <x v="10"/>
    <x v="0"/>
  </r>
  <r>
    <s v="ADM0208"/>
    <x v="542"/>
    <s v="STU0208"/>
    <s v="Sejal Bhayani"/>
    <d v="2005-05-09T00:00:00"/>
    <x v="6"/>
    <x v="6"/>
    <x v="10"/>
    <x v="8"/>
    <s v="AI &amp; Data Science"/>
    <x v="2"/>
    <x v="0"/>
    <s v="06:00 - 07:00 PM"/>
    <s v="Ongoin"/>
    <x v="2"/>
    <x v="10"/>
    <x v="0"/>
  </r>
  <r>
    <s v="ADM0209"/>
    <x v="543"/>
    <s v="STU0209"/>
    <s v="Jatin Kariya"/>
    <d v="2002-07-21T00:00:00"/>
    <x v="1"/>
    <x v="1"/>
    <x v="11"/>
    <x v="9"/>
    <s v="Game Development"/>
    <x v="3"/>
    <x v="0"/>
    <s v="11:00-12:00  AM"/>
    <s v="Ongoin"/>
    <x v="7"/>
    <x v="10"/>
    <x v="0"/>
  </r>
  <r>
    <s v="ADM0210"/>
    <x v="544"/>
    <s v="STU0210"/>
    <s v="Apeksha Dholakia"/>
    <d v="2005-02-04T00:00:00"/>
    <x v="3"/>
    <x v="3"/>
    <x v="12"/>
    <x v="0"/>
    <s v="Cyber Security"/>
    <x v="4"/>
    <x v="0"/>
    <s v="10:00-11:00 AM"/>
    <s v="Ongoin"/>
    <x v="2"/>
    <x v="10"/>
    <x v="0"/>
  </r>
  <r>
    <s v="ADM0211"/>
    <x v="545"/>
    <s v="STU0211"/>
    <s v="Kunal Vekariya"/>
    <d v="2004-04-18T00:00:00"/>
    <x v="7"/>
    <x v="7"/>
    <x v="13"/>
    <x v="1"/>
    <s v="Programming"/>
    <x v="5"/>
    <x v="0"/>
    <s v="09:00 - 10:00 AM"/>
    <s v="Ongoin"/>
    <x v="0"/>
    <x v="10"/>
    <x v="0"/>
  </r>
  <r>
    <s v="ADM0212"/>
    <x v="546"/>
    <s v="STU0212"/>
    <s v="Bhavika Mankad"/>
    <d v="2005-10-29T00:00:00"/>
    <x v="3"/>
    <x v="3"/>
    <x v="14"/>
    <x v="2"/>
    <s v="Design"/>
    <x v="6"/>
    <x v="0"/>
    <s v="03:00-04:00 PM"/>
    <s v="Ongoin"/>
    <x v="5"/>
    <x v="10"/>
    <x v="0"/>
  </r>
  <r>
    <s v="ADM0213"/>
    <x v="547"/>
    <s v="STU0213"/>
    <s v="Manish Savani"/>
    <d v="2004-12-06T00:00:00"/>
    <x v="0"/>
    <x v="0"/>
    <x v="0"/>
    <x v="3"/>
    <s v="Design &amp; Video Editing"/>
    <x v="7"/>
    <x v="0"/>
    <s v="06:00 - 07:00 PM"/>
    <s v="Ongoin"/>
    <x v="2"/>
    <x v="10"/>
    <x v="0"/>
  </r>
  <r>
    <s v="ADM0214"/>
    <x v="548"/>
    <s v="STU0214"/>
    <s v="Srushti Baldha"/>
    <d v="2005-07-12T00:00:00"/>
    <x v="1"/>
    <x v="1"/>
    <x v="1"/>
    <x v="4"/>
    <s v="Graphic Design"/>
    <x v="0"/>
    <x v="0"/>
    <s v="11:00-12:00  AM"/>
    <s v="Ongoin"/>
    <x v="2"/>
    <x v="10"/>
    <x v="0"/>
  </r>
  <r>
    <s v="ADM0215"/>
    <x v="549"/>
    <s v="STU0215"/>
    <s v="Himanshu Kheni"/>
    <d v="2004-01-23T00:00:00"/>
    <x v="2"/>
    <x v="2"/>
    <x v="2"/>
    <x v="5"/>
    <s v="Graphic Design"/>
    <x v="1"/>
    <x v="0"/>
    <s v="10:00-11:00 AM"/>
    <s v="Ongoin"/>
    <x v="0"/>
    <x v="10"/>
    <x v="0"/>
  </r>
  <r>
    <s v="ADM0216"/>
    <x v="550"/>
    <s v="STU0216"/>
    <s v="Riddhesh Kalsariya"/>
    <d v="2009-08-17T00:00:00"/>
    <x v="3"/>
    <x v="3"/>
    <x v="3"/>
    <x v="6"/>
    <s v="Graphic Design"/>
    <x v="2"/>
    <x v="0"/>
    <s v="04:00-05:00 PM"/>
    <s v="Ongoin"/>
    <x v="6"/>
    <x v="10"/>
    <x v="0"/>
  </r>
  <r>
    <s v="ADM0217"/>
    <x v="551"/>
    <s v="STU0217"/>
    <s v="Anjali Dhameliya"/>
    <d v="2005-08-18T00:00:00"/>
    <x v="0"/>
    <x v="0"/>
    <x v="4"/>
    <x v="7"/>
    <s v="UI/UX Design"/>
    <x v="3"/>
    <x v="0"/>
    <s v="09:00-10:00 AM"/>
    <s v="Ongoin"/>
    <x v="2"/>
    <x v="10"/>
    <x v="0"/>
  </r>
  <r>
    <s v="ADM0218"/>
    <x v="552"/>
    <s v="STU0218"/>
    <s v="Vivek Khodiyar"/>
    <d v="2004-02-02T00:00:00"/>
    <x v="4"/>
    <x v="4"/>
    <x v="5"/>
    <x v="8"/>
    <s v="AI &amp; Data Science"/>
    <x v="4"/>
    <x v="0"/>
    <s v="05:00- 06:00PM"/>
    <s v="Ongoin"/>
    <x v="0"/>
    <x v="10"/>
    <x v="0"/>
  </r>
  <r>
    <s v="ADM0219"/>
    <x v="553"/>
    <s v="STU0219"/>
    <s v="Madhavi Jadav"/>
    <d v="2005-04-17T00:00:00"/>
    <x v="3"/>
    <x v="3"/>
    <x v="6"/>
    <x v="9"/>
    <s v="Game Development"/>
    <x v="5"/>
    <x v="0"/>
    <s v="09:00 - 10:00 AM"/>
    <s v="Ongoin"/>
    <x v="2"/>
    <x v="10"/>
    <x v="0"/>
  </r>
  <r>
    <s v="ADM0220"/>
    <x v="554"/>
    <s v="STU0220"/>
    <s v="Parag Chotaliya"/>
    <d v="2004-06-26T00:00:00"/>
    <x v="5"/>
    <x v="5"/>
    <x v="7"/>
    <x v="0"/>
    <s v="Cyber Security"/>
    <x v="6"/>
    <x v="0"/>
    <s v="03:00-04:00 PM"/>
    <s v="Ongoin"/>
    <x v="0"/>
    <x v="10"/>
    <x v="0"/>
  </r>
  <r>
    <s v="ADM0221"/>
    <x v="555"/>
    <s v="STU0221"/>
    <s v="Jalpa Kachhela"/>
    <d v="2008-01-08T00:00:00"/>
    <x v="0"/>
    <x v="0"/>
    <x v="8"/>
    <x v="1"/>
    <s v="Programming"/>
    <x v="7"/>
    <x v="0"/>
    <s v="06:00 - 07:00 PM"/>
    <s v="Ongoin"/>
    <x v="4"/>
    <x v="10"/>
    <x v="0"/>
  </r>
  <r>
    <s v="ADM0222"/>
    <x v="556"/>
    <s v="STU0222"/>
    <s v="Hemal Bhalala"/>
    <d v="2004-09-14T00:00:00"/>
    <x v="3"/>
    <x v="3"/>
    <x v="9"/>
    <x v="2"/>
    <s v="Design"/>
    <x v="0"/>
    <x v="0"/>
    <s v="11:00-12:00  AM"/>
    <s v="Ongoin"/>
    <x v="0"/>
    <x v="10"/>
    <x v="0"/>
  </r>
  <r>
    <s v="ADM0223"/>
    <x v="557"/>
    <s v="STU0223"/>
    <s v="Smit Pipaliya"/>
    <d v="2005-05-23T00:00:00"/>
    <x v="6"/>
    <x v="6"/>
    <x v="10"/>
    <x v="3"/>
    <s v="Design &amp; Video Editing"/>
    <x v="1"/>
    <x v="0"/>
    <s v="10:00-11:00 AM"/>
    <s v="Ongoin"/>
    <x v="2"/>
    <x v="10"/>
    <x v="0"/>
  </r>
  <r>
    <s v="ADM0224"/>
    <x v="558"/>
    <s v="STU0224"/>
    <s v="Shreya Borad"/>
    <d v="2004-12-05T00:00:00"/>
    <x v="1"/>
    <x v="1"/>
    <x v="11"/>
    <x v="4"/>
    <s v="Graphic Design"/>
    <x v="2"/>
    <x v="0"/>
    <s v="04:00-05:00 PM"/>
    <s v="Ongoin"/>
    <x v="2"/>
    <x v="10"/>
    <x v="0"/>
  </r>
  <r>
    <s v="ADM0225"/>
    <x v="559"/>
    <s v="STU0225"/>
    <s v="Ankur Goti"/>
    <d v="2002-08-19T00:00:00"/>
    <x v="3"/>
    <x v="3"/>
    <x v="12"/>
    <x v="5"/>
    <s v="Graphic Design"/>
    <x v="3"/>
    <x v="0"/>
    <s v="09:00-10:00 AM"/>
    <s v="Ongoin"/>
    <x v="7"/>
    <x v="10"/>
    <x v="0"/>
  </r>
  <r>
    <s v="ADM0226"/>
    <x v="560"/>
    <s v="STU0226"/>
    <s v="Pankti Keshwala"/>
    <d v="2004-03-11T00:00:00"/>
    <x v="7"/>
    <x v="7"/>
    <x v="13"/>
    <x v="6"/>
    <s v="Graphic Design"/>
    <x v="4"/>
    <x v="0"/>
    <s v="05:00- 06:00PM"/>
    <s v="Ongoin"/>
    <x v="0"/>
    <x v="10"/>
    <x v="0"/>
  </r>
  <r>
    <s v="ADM0227"/>
    <x v="561"/>
    <s v="STU0227"/>
    <s v="Nilesh Kumbhani"/>
    <d v="2005-10-28T00:00:00"/>
    <x v="3"/>
    <x v="3"/>
    <x v="14"/>
    <x v="7"/>
    <s v="UI/UX Design"/>
    <x v="5"/>
    <x v="0"/>
    <s v="09:00 - 10:00 AM"/>
    <s v="Ongoin"/>
    <x v="5"/>
    <x v="10"/>
    <x v="0"/>
  </r>
  <r>
    <s v="ADM0228"/>
    <x v="562"/>
    <s v="STU0228"/>
    <s v="Bansi Padhiyar"/>
    <d v="2004-07-07T00:00:00"/>
    <x v="7"/>
    <x v="7"/>
    <x v="13"/>
    <x v="8"/>
    <s v="AI &amp; Data Science"/>
    <x v="6"/>
    <x v="0"/>
    <s v="03:00-04:00 PM"/>
    <s v="Ongoin"/>
    <x v="0"/>
    <x v="10"/>
    <x v="0"/>
  </r>
  <r>
    <s v="ADM0229"/>
    <x v="563"/>
    <s v="STU0229"/>
    <s v="Rohan Virda"/>
    <d v="2005-02-16T00:00:00"/>
    <x v="3"/>
    <x v="3"/>
    <x v="14"/>
    <x v="9"/>
    <s v="Game Development"/>
    <x v="7"/>
    <x v="0"/>
    <s v="06:00 - 07:00 PM"/>
    <s v="Ongoin"/>
    <x v="2"/>
    <x v="10"/>
    <x v="0"/>
  </r>
  <r>
    <s v="ADM0564"/>
    <x v="564"/>
    <s v="STU0564"/>
    <s v="Rahil Gondaliya"/>
    <d v="2005-08-14T00:00:00"/>
    <x v="1"/>
    <x v="1"/>
    <x v="1"/>
    <x v="4"/>
    <s v="Graphic Design"/>
    <x v="1"/>
    <x v="0"/>
    <s v="09:00 - 10:00 AM"/>
    <s v="Ongoin"/>
    <x v="2"/>
    <x v="10"/>
    <x v="1"/>
  </r>
  <r>
    <s v="ADM0565"/>
    <x v="565"/>
    <s v="STU0565"/>
    <s v="Pinal Donga"/>
    <d v="2006-12-02T00:00:00"/>
    <x v="8"/>
    <x v="8"/>
    <x v="15"/>
    <x v="5"/>
    <s v="Graphic Design"/>
    <x v="3"/>
    <x v="0"/>
    <s v="03:00-04:00 PM"/>
    <s v="Ongoin"/>
    <x v="3"/>
    <x v="10"/>
    <x v="1"/>
  </r>
  <r>
    <s v="ADM0566"/>
    <x v="566"/>
    <s v="STU0566"/>
    <s v="Devanshi Sakhiya"/>
    <d v="2006-11-07T00:00:00"/>
    <x v="0"/>
    <x v="0"/>
    <x v="8"/>
    <x v="6"/>
    <s v="Graphic Design"/>
    <x v="4"/>
    <x v="0"/>
    <s v="06:00 - 07:00 PM"/>
    <s v="Ongoin"/>
    <x v="3"/>
    <x v="10"/>
    <x v="1"/>
  </r>
  <r>
    <s v="ADM0567"/>
    <x v="567"/>
    <s v="STU0567"/>
    <s v="Aariz Khan"/>
    <d v="2005-08-14T00:00:00"/>
    <x v="4"/>
    <x v="4"/>
    <x v="5"/>
    <x v="7"/>
    <s v="UI/UX Design"/>
    <x v="5"/>
    <x v="0"/>
    <s v="11:00-12:00  AM"/>
    <s v="Ongoin"/>
    <x v="2"/>
    <x v="10"/>
    <x v="1"/>
  </r>
  <r>
    <s v="ADM0568"/>
    <x v="568"/>
    <s v="STU0568"/>
    <s v="Jensi Skhakiya"/>
    <d v="2006-12-02T00:00:00"/>
    <x v="6"/>
    <x v="6"/>
    <x v="10"/>
    <x v="8"/>
    <s v="AI &amp; Data Science"/>
    <x v="1"/>
    <x v="0"/>
    <s v="10:00-11:00 AM"/>
    <s v="Ongoin"/>
    <x v="3"/>
    <x v="10"/>
    <x v="1"/>
  </r>
  <r>
    <s v="ADM0569"/>
    <x v="569"/>
    <s v="STU0569"/>
    <s v="Arman Padsara"/>
    <d v="2008-11-07T00:00:00"/>
    <x v="1"/>
    <x v="1"/>
    <x v="11"/>
    <x v="9"/>
    <s v="Game Development"/>
    <x v="3"/>
    <x v="0"/>
    <s v="04:00-05:00 PM"/>
    <s v="Ongoin"/>
    <x v="6"/>
    <x v="10"/>
    <x v="1"/>
  </r>
  <r>
    <s v="ADM0570"/>
    <x v="570"/>
    <s v="STU0570"/>
    <s v="Hetvi Sakhiya"/>
    <d v="2005-08-14T00:00:00"/>
    <x v="3"/>
    <x v="3"/>
    <x v="12"/>
    <x v="9"/>
    <s v="Game Development"/>
    <x v="4"/>
    <x v="0"/>
    <s v="09:00-10:00 AM"/>
    <s v="Ongoin"/>
    <x v="2"/>
    <x v="10"/>
    <x v="1"/>
  </r>
  <r>
    <s v="ADM0571"/>
    <x v="571"/>
    <s v="STU0571"/>
    <s v="Yug Joshi"/>
    <d v="2006-12-02T00:00:00"/>
    <x v="7"/>
    <x v="7"/>
    <x v="13"/>
    <x v="4"/>
    <s v="Graphic Design"/>
    <x v="5"/>
    <x v="0"/>
    <s v="05:00- 06:00PM"/>
    <s v="Ongoin"/>
    <x v="3"/>
    <x v="10"/>
    <x v="1"/>
  </r>
  <r>
    <s v="ADM0572"/>
    <x v="572"/>
    <s v="STU0572"/>
    <s v="Zain Khan"/>
    <d v="2006-11-07T00:00:00"/>
    <x v="1"/>
    <x v="1"/>
    <x v="1"/>
    <x v="5"/>
    <s v="Graphic Design"/>
    <x v="1"/>
    <x v="0"/>
    <s v="03:00-04:00 PM"/>
    <s v="Ongoin"/>
    <x v="3"/>
    <x v="10"/>
    <x v="1"/>
  </r>
  <r>
    <s v="ADM0573"/>
    <x v="573"/>
    <s v="STU0573"/>
    <s v="Bhavik Donga"/>
    <d v="2008-08-14T00:00:00"/>
    <x v="8"/>
    <x v="8"/>
    <x v="15"/>
    <x v="6"/>
    <s v="Graphic Design"/>
    <x v="3"/>
    <x v="0"/>
    <s v="09:00 - 10:00 AM"/>
    <s v="Ongoin"/>
    <x v="4"/>
    <x v="10"/>
    <x v="1"/>
  </r>
  <r>
    <s v="ADM0574"/>
    <x v="574"/>
    <s v="STU0574"/>
    <s v="Jhanvi Gondaliya"/>
    <d v="2006-12-02T00:00:00"/>
    <x v="0"/>
    <x v="0"/>
    <x v="8"/>
    <x v="7"/>
    <s v="UI/UX Design"/>
    <x v="4"/>
    <x v="0"/>
    <s v="03:00-04:00 PM"/>
    <s v="Ongoin"/>
    <x v="3"/>
    <x v="10"/>
    <x v="1"/>
  </r>
  <r>
    <s v="ADM0575"/>
    <x v="575"/>
    <s v="STU0575"/>
    <s v="Tirth Sakhiya"/>
    <d v="2006-11-07T00:00:00"/>
    <x v="4"/>
    <x v="4"/>
    <x v="5"/>
    <x v="8"/>
    <s v="AI &amp; Data Science"/>
    <x v="5"/>
    <x v="0"/>
    <s v="06:00 - 07:00 PM"/>
    <s v="Ongoin"/>
    <x v="3"/>
    <x v="10"/>
    <x v="1"/>
  </r>
  <r>
    <s v="ADM0576"/>
    <x v="576"/>
    <s v="STU0576"/>
    <s v="Mansi Taraviya"/>
    <d v="2005-08-14T00:00:00"/>
    <x v="6"/>
    <x v="6"/>
    <x v="10"/>
    <x v="9"/>
    <s v="Game Development"/>
    <x v="1"/>
    <x v="0"/>
    <s v="11:00-12:00  AM"/>
    <s v="Ongoin"/>
    <x v="2"/>
    <x v="10"/>
    <x v="1"/>
  </r>
  <r>
    <s v="ADM0577"/>
    <x v="577"/>
    <s v="STU0577"/>
    <s v="Rehan Khan"/>
    <d v="2006-12-02T00:00:00"/>
    <x v="1"/>
    <x v="1"/>
    <x v="11"/>
    <x v="9"/>
    <s v="Game Development"/>
    <x v="3"/>
    <x v="0"/>
    <s v="10:00-11:00 AM"/>
    <s v="Ongoin"/>
    <x v="3"/>
    <x v="10"/>
    <x v="1"/>
  </r>
  <r>
    <s v="ADM0578"/>
    <x v="578"/>
    <s v="STU0578"/>
    <s v="Avni Kathiriya"/>
    <d v="2006-11-07T00:00:00"/>
    <x v="3"/>
    <x v="3"/>
    <x v="12"/>
    <x v="4"/>
    <s v="Graphic Design"/>
    <x v="4"/>
    <x v="0"/>
    <s v="04:00-05:00 PM"/>
    <s v="Ongoin"/>
    <x v="3"/>
    <x v="10"/>
    <x v="1"/>
  </r>
  <r>
    <s v="ADM0579"/>
    <x v="579"/>
    <s v="STU0579"/>
    <s v="Jay Padsara"/>
    <d v="2005-08-14T00:00:00"/>
    <x v="7"/>
    <x v="7"/>
    <x v="13"/>
    <x v="5"/>
    <s v="Graphic Design"/>
    <x v="5"/>
    <x v="0"/>
    <s v="09:00-10:00 AM"/>
    <s v="Ongoin"/>
    <x v="2"/>
    <x v="10"/>
    <x v="1"/>
  </r>
  <r>
    <s v="ADM0580"/>
    <x v="580"/>
    <s v="STU0580"/>
    <s v="Krisha Joshi"/>
    <d v="2006-12-02T00:00:00"/>
    <x v="1"/>
    <x v="1"/>
    <x v="1"/>
    <x v="6"/>
    <s v="Graphic Design"/>
    <x v="1"/>
    <x v="0"/>
    <s v="05:00- 06:00PM"/>
    <s v="Ongoin"/>
    <x v="3"/>
    <x v="10"/>
    <x v="1"/>
  </r>
  <r>
    <s v="ADM0581"/>
    <x v="581"/>
    <s v="STU0581"/>
    <s v="Rahil Gondaliya"/>
    <d v="2006-11-07T00:00:00"/>
    <x v="8"/>
    <x v="8"/>
    <x v="15"/>
    <x v="7"/>
    <s v="UI/UX Design"/>
    <x v="3"/>
    <x v="0"/>
    <s v="03:00-04:00 PM"/>
    <s v="Ongoin"/>
    <x v="3"/>
    <x v="10"/>
    <x v="1"/>
  </r>
  <r>
    <s v="ADM0582"/>
    <x v="582"/>
    <s v="STU0582"/>
    <s v="Pinal Donga"/>
    <d v="2007-08-14T00:00:00"/>
    <x v="0"/>
    <x v="0"/>
    <x v="8"/>
    <x v="8"/>
    <s v="AI &amp; Data Science"/>
    <x v="4"/>
    <x v="0"/>
    <s v="09:00 - 10:00 AM"/>
    <s v="Ongoin"/>
    <x v="3"/>
    <x v="10"/>
    <x v="1"/>
  </r>
  <r>
    <s v="ADM0583"/>
    <x v="583"/>
    <s v="STU0583"/>
    <s v="Devanshi Sakhiya"/>
    <d v="2006-12-02T00:00:00"/>
    <x v="4"/>
    <x v="4"/>
    <x v="5"/>
    <x v="9"/>
    <s v="Game Development"/>
    <x v="5"/>
    <x v="0"/>
    <s v="03:00-04:00 PM"/>
    <s v="Ongoin"/>
    <x v="3"/>
    <x v="10"/>
    <x v="1"/>
  </r>
  <r>
    <s v="ADM0584"/>
    <x v="584"/>
    <s v="STU0584"/>
    <s v="Aariz Khan"/>
    <d v="2006-11-07T00:00:00"/>
    <x v="6"/>
    <x v="6"/>
    <x v="10"/>
    <x v="9"/>
    <s v="Game Development"/>
    <x v="1"/>
    <x v="0"/>
    <s v="06:00 - 07:00 PM"/>
    <s v="Ongoin"/>
    <x v="3"/>
    <x v="10"/>
    <x v="1"/>
  </r>
  <r>
    <s v="ADM0585"/>
    <x v="585"/>
    <s v="STU0585"/>
    <s v="Jensi Skhakiya"/>
    <d v="2005-08-14T00:00:00"/>
    <x v="1"/>
    <x v="1"/>
    <x v="11"/>
    <x v="4"/>
    <s v="Graphic Design"/>
    <x v="3"/>
    <x v="0"/>
    <s v="11:00-12:00  AM"/>
    <s v="Ongoin"/>
    <x v="2"/>
    <x v="10"/>
    <x v="1"/>
  </r>
  <r>
    <s v="ADM0586"/>
    <x v="586"/>
    <s v="STU0586"/>
    <s v="Arman Padsara"/>
    <d v="2006-12-02T00:00:00"/>
    <x v="3"/>
    <x v="3"/>
    <x v="12"/>
    <x v="5"/>
    <s v="Graphic Design"/>
    <x v="4"/>
    <x v="0"/>
    <s v="10:00-11:00 AM"/>
    <s v="Ongoin"/>
    <x v="3"/>
    <x v="10"/>
    <x v="1"/>
  </r>
  <r>
    <s v="ADM0587"/>
    <x v="587"/>
    <s v="STU0587"/>
    <s v="Hetvi Sakhiya"/>
    <d v="2006-11-07T00:00:00"/>
    <x v="7"/>
    <x v="7"/>
    <x v="13"/>
    <x v="6"/>
    <s v="Graphic Design"/>
    <x v="5"/>
    <x v="0"/>
    <s v="04:00-05:00 PM"/>
    <s v="Ongoin"/>
    <x v="3"/>
    <x v="10"/>
    <x v="1"/>
  </r>
  <r>
    <s v="ADM0588"/>
    <x v="588"/>
    <s v="STU0588"/>
    <s v="Yug Joshi"/>
    <d v="2005-08-14T00:00:00"/>
    <x v="1"/>
    <x v="1"/>
    <x v="1"/>
    <x v="7"/>
    <s v="UI/UX Design"/>
    <x v="1"/>
    <x v="0"/>
    <s v="09:00-10:00 AM"/>
    <s v="Ongoin"/>
    <x v="2"/>
    <x v="10"/>
    <x v="1"/>
  </r>
  <r>
    <s v="ADM0589"/>
    <x v="589"/>
    <s v="STU0589"/>
    <s v="Zain Khan"/>
    <d v="2006-12-02T00:00:00"/>
    <x v="8"/>
    <x v="8"/>
    <x v="15"/>
    <x v="8"/>
    <s v="AI &amp; Data Science"/>
    <x v="3"/>
    <x v="0"/>
    <s v="05:00- 06:00PM"/>
    <s v="Ongoin"/>
    <x v="3"/>
    <x v="10"/>
    <x v="1"/>
  </r>
  <r>
    <s v="ADM0590"/>
    <x v="590"/>
    <s v="STU0590"/>
    <s v="Bhavik Donga"/>
    <d v="2006-11-07T00:00:00"/>
    <x v="0"/>
    <x v="0"/>
    <x v="8"/>
    <x v="9"/>
    <s v="Game Development"/>
    <x v="4"/>
    <x v="0"/>
    <s v="03:00-04:00 PM"/>
    <s v="Ongoin"/>
    <x v="3"/>
    <x v="10"/>
    <x v="1"/>
  </r>
  <r>
    <s v="ADM0591"/>
    <x v="591"/>
    <s v="STU0591"/>
    <s v="Jhanvi Gondaliya"/>
    <d v="2007-08-14T00:00:00"/>
    <x v="4"/>
    <x v="4"/>
    <x v="5"/>
    <x v="9"/>
    <s v="Game Development"/>
    <x v="5"/>
    <x v="0"/>
    <s v="09:00 - 10:00 AM"/>
    <s v="Ongoin"/>
    <x v="3"/>
    <x v="10"/>
    <x v="1"/>
  </r>
  <r>
    <s v="ADM0592"/>
    <x v="592"/>
    <s v="STU0592"/>
    <s v="Tirth Sakhiya"/>
    <d v="2006-12-02T00:00:00"/>
    <x v="6"/>
    <x v="6"/>
    <x v="10"/>
    <x v="4"/>
    <s v="Graphic Design"/>
    <x v="1"/>
    <x v="0"/>
    <s v="03:00-04:00 PM"/>
    <s v="Ongoin"/>
    <x v="3"/>
    <x v="10"/>
    <x v="1"/>
  </r>
  <r>
    <s v="ADM0593"/>
    <x v="593"/>
    <s v="STU0593"/>
    <s v="Mansi Taraviya"/>
    <d v="2006-11-07T00:00:00"/>
    <x v="1"/>
    <x v="1"/>
    <x v="11"/>
    <x v="5"/>
    <s v="Graphic Design"/>
    <x v="3"/>
    <x v="0"/>
    <s v="06:00 - 07:00 PM"/>
    <s v="Ongoin"/>
    <x v="3"/>
    <x v="10"/>
    <x v="1"/>
  </r>
  <r>
    <s v="ADM0594"/>
    <x v="594"/>
    <s v="STU0594"/>
    <s v="Rehan Khan"/>
    <d v="2005-08-14T00:00:00"/>
    <x v="3"/>
    <x v="3"/>
    <x v="12"/>
    <x v="6"/>
    <s v="Graphic Design"/>
    <x v="4"/>
    <x v="0"/>
    <s v="11:00-12:00  AM"/>
    <s v="Ongoin"/>
    <x v="2"/>
    <x v="10"/>
    <x v="1"/>
  </r>
  <r>
    <s v="ADM0077"/>
    <x v="595"/>
    <s v="STU0077"/>
    <s v="Rakesh Mankad"/>
    <d v="2005-04-21T00:00:00"/>
    <x v="5"/>
    <x v="5"/>
    <x v="7"/>
    <x v="7"/>
    <s v="UI/UX Design"/>
    <x v="1"/>
    <x v="0"/>
    <s v="04:00-05:00 PM"/>
    <s v="Ongoin"/>
    <x v="2"/>
    <x v="11"/>
    <x v="0"/>
  </r>
  <r>
    <s v="ADM0078"/>
    <x v="596"/>
    <s v="STU0078"/>
    <s v="Dhara Savani"/>
    <d v="2004-01-03T00:00:00"/>
    <x v="0"/>
    <x v="0"/>
    <x v="8"/>
    <x v="8"/>
    <s v="AI &amp; Data Science"/>
    <x v="1"/>
    <x v="0"/>
    <s v="09:00-10:00 AM"/>
    <s v="Ongoin"/>
    <x v="0"/>
    <x v="11"/>
    <x v="0"/>
  </r>
  <r>
    <s v="ADM0079"/>
    <x v="597"/>
    <s v="STU0079"/>
    <s v="Kushang Baldha"/>
    <d v="2005-06-18T00:00:00"/>
    <x v="3"/>
    <x v="3"/>
    <x v="9"/>
    <x v="9"/>
    <s v="Game Development"/>
    <x v="1"/>
    <x v="1"/>
    <s v="05:00- 06:00PM"/>
    <s v="Ongoin"/>
    <x v="2"/>
    <x v="11"/>
    <x v="0"/>
  </r>
  <r>
    <s v="ADM0080"/>
    <x v="598"/>
    <s v="STU0080"/>
    <s v="Nirali Kheni"/>
    <d v="2004-03-24T00:00:00"/>
    <x v="6"/>
    <x v="6"/>
    <x v="10"/>
    <x v="0"/>
    <s v="Cyber Security"/>
    <x v="1"/>
    <x v="1"/>
    <s v="09:00 - 10:00 AM"/>
    <s v="Ongoin"/>
    <x v="0"/>
    <x v="11"/>
    <x v="0"/>
  </r>
  <r>
    <s v="ADM0081"/>
    <x v="599"/>
    <s v="STU0081"/>
    <s v="Aarika Kalsariya"/>
    <d v="2005-09-09T00:00:00"/>
    <x v="1"/>
    <x v="1"/>
    <x v="11"/>
    <x v="1"/>
    <s v="Programming"/>
    <x v="1"/>
    <x v="0"/>
    <s v="03:00-04:00 PM"/>
    <s v="Ongoin"/>
    <x v="2"/>
    <x v="11"/>
    <x v="0"/>
  </r>
  <r>
    <s v="ADM0082"/>
    <x v="600"/>
    <s v="STU0082"/>
    <s v="Tejas Dhameliya"/>
    <d v="2004-07-12T00:00:00"/>
    <x v="3"/>
    <x v="3"/>
    <x v="12"/>
    <x v="2"/>
    <s v="Design"/>
    <x v="4"/>
    <x v="0"/>
    <s v="06:00 - 07:00 PM"/>
    <s v="Ongoin"/>
    <x v="0"/>
    <x v="11"/>
    <x v="0"/>
  </r>
  <r>
    <s v="ADM0083"/>
    <x v="601"/>
    <s v="STU0083"/>
    <s v="Bhoomi Khodiyar"/>
    <d v="2006-02-26T00:00:00"/>
    <x v="7"/>
    <x v="7"/>
    <x v="13"/>
    <x v="3"/>
    <s v="Design &amp; Video Editing"/>
    <x v="5"/>
    <x v="1"/>
    <s v="11:00-12:00  AM"/>
    <s v="Ongoin"/>
    <x v="5"/>
    <x v="11"/>
    <x v="0"/>
  </r>
  <r>
    <s v="ADM0084"/>
    <x v="602"/>
    <s v="STU0084"/>
    <s v="Maulik Jadav"/>
    <d v="2004-12-07T00:00:00"/>
    <x v="3"/>
    <x v="3"/>
    <x v="14"/>
    <x v="4"/>
    <s v="Graphic Design"/>
    <x v="6"/>
    <x v="0"/>
    <s v="10:00-11:00 AM"/>
    <s v="Ongoin"/>
    <x v="2"/>
    <x v="11"/>
    <x v="0"/>
  </r>
  <r>
    <s v="ADM0085"/>
    <x v="603"/>
    <s v="STU0085"/>
    <s v="Ira Chotaliya"/>
    <d v="2005-04-15T00:00:00"/>
    <x v="0"/>
    <x v="0"/>
    <x v="0"/>
    <x v="5"/>
    <s v="Graphic Design"/>
    <x v="7"/>
    <x v="0"/>
    <s v="09:00 - 10:00 AM"/>
    <s v="Ongoin"/>
    <x v="2"/>
    <x v="11"/>
    <x v="0"/>
  </r>
  <r>
    <s v="ADM0086"/>
    <x v="604"/>
    <s v="STU0086"/>
    <s v="Kunal Kachhela"/>
    <d v="2004-05-21T00:00:00"/>
    <x v="1"/>
    <x v="1"/>
    <x v="1"/>
    <x v="6"/>
    <s v="Graphic Design"/>
    <x v="0"/>
    <x v="1"/>
    <s v="03:00-04:00 PM"/>
    <s v="Ongoin"/>
    <x v="0"/>
    <x v="11"/>
    <x v="0"/>
  </r>
  <r>
    <s v="ADM0087"/>
    <x v="605"/>
    <s v="STU0087"/>
    <s v="Avisha Bhalala"/>
    <d v="2005-10-30T00:00:00"/>
    <x v="2"/>
    <x v="2"/>
    <x v="2"/>
    <x v="7"/>
    <s v="UI/UX Design"/>
    <x v="1"/>
    <x v="0"/>
    <s v="06:00 - 07:00 PM"/>
    <s v="Ongoin"/>
    <x v="5"/>
    <x v="11"/>
    <x v="0"/>
  </r>
  <r>
    <s v="ADM0088"/>
    <x v="606"/>
    <s v="STU0088"/>
    <s v="Naman Pipaliya"/>
    <d v="2004-08-06T00:00:00"/>
    <x v="3"/>
    <x v="3"/>
    <x v="3"/>
    <x v="8"/>
    <s v="AI &amp; Data Science"/>
    <x v="2"/>
    <x v="0"/>
    <s v="11:00-12:00  AM"/>
    <s v="Ongoin"/>
    <x v="0"/>
    <x v="11"/>
    <x v="0"/>
  </r>
  <r>
    <s v="ADM0089"/>
    <x v="607"/>
    <s v="STU0089"/>
    <s v="Urvi Borad"/>
    <d v="2005-01-19T00:00:00"/>
    <x v="0"/>
    <x v="0"/>
    <x v="4"/>
    <x v="9"/>
    <s v="Game Development"/>
    <x v="3"/>
    <x v="1"/>
    <s v="10:00-11:00 AM"/>
    <s v="Ongoin"/>
    <x v="2"/>
    <x v="11"/>
    <x v="0"/>
  </r>
  <r>
    <s v="ADM0090"/>
    <x v="608"/>
    <s v="STU0090"/>
    <s v="Smit Goti"/>
    <d v="2004-11-28T00:00:00"/>
    <x v="4"/>
    <x v="4"/>
    <x v="5"/>
    <x v="0"/>
    <s v="Cyber Security"/>
    <x v="4"/>
    <x v="0"/>
    <s v="04:00-05:00 PM"/>
    <s v="Ongoin"/>
    <x v="2"/>
    <x v="11"/>
    <x v="0"/>
  </r>
  <r>
    <s v="ADM0091"/>
    <x v="609"/>
    <s v="STU0091"/>
    <s v="Reva Keshwala"/>
    <d v="2005-06-11T00:00:00"/>
    <x v="3"/>
    <x v="3"/>
    <x v="6"/>
    <x v="1"/>
    <s v="Programming"/>
    <x v="5"/>
    <x v="0"/>
    <s v="09:00-10:00 AM"/>
    <s v="Ongoin"/>
    <x v="2"/>
    <x v="11"/>
    <x v="0"/>
  </r>
  <r>
    <s v="ADM0092"/>
    <x v="610"/>
    <s v="STU0092"/>
    <s v="Dhruvin Kumbhani"/>
    <d v="2009-05-04T00:00:00"/>
    <x v="5"/>
    <x v="5"/>
    <x v="7"/>
    <x v="2"/>
    <s v="Design"/>
    <x v="6"/>
    <x v="0"/>
    <s v="05:00- 06:00PM"/>
    <s v="Ongoin"/>
    <x v="6"/>
    <x v="11"/>
    <x v="0"/>
  </r>
  <r>
    <s v="ADM0093"/>
    <x v="611"/>
    <s v="STU0093"/>
    <s v="Shreya Padhiyar"/>
    <d v="2005-09-23T00:00:00"/>
    <x v="0"/>
    <x v="0"/>
    <x v="8"/>
    <x v="3"/>
    <s v="Design &amp; Video Editing"/>
    <x v="7"/>
    <x v="0"/>
    <s v="09:00 - 10:00 AM"/>
    <s v="Ongoin"/>
    <x v="2"/>
    <x v="11"/>
    <x v="0"/>
  </r>
  <r>
    <s v="ADM0094"/>
    <x v="612"/>
    <s v="STU0094"/>
    <s v="Tirth Virda"/>
    <d v="2004-12-16T00:00:00"/>
    <x v="3"/>
    <x v="3"/>
    <x v="9"/>
    <x v="4"/>
    <s v="Graphic Design"/>
    <x v="0"/>
    <x v="0"/>
    <s v="03:00-04:00 PM"/>
    <s v="Ongoin"/>
    <x v="2"/>
    <x v="11"/>
    <x v="0"/>
  </r>
  <r>
    <s v="ADM0095"/>
    <x v="613"/>
    <s v="STU0095"/>
    <s v="Aashi Ramani"/>
    <d v="2006-03-02T00:00:00"/>
    <x v="6"/>
    <x v="6"/>
    <x v="10"/>
    <x v="5"/>
    <s v="Graphic Design"/>
    <x v="1"/>
    <x v="0"/>
    <s v="06:00 - 07:00 PM"/>
    <s v="Ongoin"/>
    <x v="5"/>
    <x v="11"/>
    <x v="0"/>
  </r>
  <r>
    <s v="ADM0096"/>
    <x v="614"/>
    <s v="STU0096"/>
    <s v="Jay Vaghani"/>
    <d v="2004-07-25T00:00:00"/>
    <x v="1"/>
    <x v="1"/>
    <x v="11"/>
    <x v="6"/>
    <s v="Graphic Design"/>
    <x v="2"/>
    <x v="0"/>
    <s v="11:00-12:00  AM"/>
    <s v="Ongoin"/>
    <x v="0"/>
    <x v="11"/>
    <x v="0"/>
  </r>
  <r>
    <s v="ADM0097"/>
    <x v="615"/>
    <s v="STU0097"/>
    <s v="Krupa Donga"/>
    <d v="2005-10-14T00:00:00"/>
    <x v="3"/>
    <x v="3"/>
    <x v="12"/>
    <x v="7"/>
    <s v="UI/UX Design"/>
    <x v="3"/>
    <x v="0"/>
    <s v="10:00-11:00 AM"/>
    <s v="Ongoin"/>
    <x v="2"/>
    <x v="11"/>
    <x v="0"/>
  </r>
  <r>
    <s v="ADM0098"/>
    <x v="616"/>
    <s v="STU0098"/>
    <s v="Rudra Kachadiya"/>
    <d v="2007-02-08T00:00:00"/>
    <x v="7"/>
    <x v="7"/>
    <x v="13"/>
    <x v="8"/>
    <s v="AI &amp; Data Science"/>
    <x v="4"/>
    <x v="0"/>
    <s v="04:00-05:00 PM"/>
    <s v="Ongoin"/>
    <x v="3"/>
    <x v="11"/>
    <x v="0"/>
  </r>
  <r>
    <s v="ADM0099"/>
    <x v="617"/>
    <s v="STU0099"/>
    <s v="Sonal Dhaduk"/>
    <d v="2005-06-27T00:00:00"/>
    <x v="3"/>
    <x v="3"/>
    <x v="14"/>
    <x v="9"/>
    <s v="Game Development"/>
    <x v="5"/>
    <x v="0"/>
    <s v="09:00-10:00 AM"/>
    <s v="Ongoin"/>
    <x v="2"/>
    <x v="11"/>
    <x v="0"/>
  </r>
  <r>
    <s v="ADM0100"/>
    <x v="618"/>
    <s v="STU0100"/>
    <s v="Vishva Ghelani"/>
    <d v="2004-04-10T00:00:00"/>
    <x v="7"/>
    <x v="7"/>
    <x v="13"/>
    <x v="0"/>
    <s v="Cyber Security"/>
    <x v="6"/>
    <x v="0"/>
    <s v="05:00- 06:00PM"/>
    <s v="Ongoin"/>
    <x v="0"/>
    <x v="11"/>
    <x v="0"/>
  </r>
  <r>
    <s v="ADM0101"/>
    <x v="619"/>
    <s v="STU0101"/>
    <s v="Naitri Vala"/>
    <d v="2005-12-22T00:00:00"/>
    <x v="3"/>
    <x v="3"/>
    <x v="14"/>
    <x v="1"/>
    <s v="Programming"/>
    <x v="7"/>
    <x v="0"/>
    <s v="09:00 - 10:00 AM"/>
    <s v="Ongoin"/>
    <x v="5"/>
    <x v="11"/>
    <x v="0"/>
  </r>
  <r>
    <s v="ADM0102"/>
    <x v="620"/>
    <s v="STU0102"/>
    <s v="Kiran Bhadani"/>
    <d v="2004-09-17T00:00:00"/>
    <x v="0"/>
    <x v="0"/>
    <x v="0"/>
    <x v="2"/>
    <s v="Design"/>
    <x v="0"/>
    <x v="0"/>
    <s v="03:00-04:00 PM"/>
    <s v="Ongoin"/>
    <x v="0"/>
    <x v="11"/>
    <x v="0"/>
  </r>
  <r>
    <s v="ADM0103"/>
    <x v="621"/>
    <s v="STU0103"/>
    <s v="Yatin Khorani"/>
    <d v="2005-05-05T00:00:00"/>
    <x v="1"/>
    <x v="1"/>
    <x v="1"/>
    <x v="3"/>
    <s v="Design &amp; Video Editing"/>
    <x v="1"/>
    <x v="0"/>
    <s v="06:00 - 07:00 PM"/>
    <s v="Ongoin"/>
    <x v="2"/>
    <x v="11"/>
    <x v="0"/>
  </r>
  <r>
    <s v="ADM0104"/>
    <x v="622"/>
    <s v="STU0104"/>
    <s v="Prisha Dholu"/>
    <d v="2004-01-29T00:00:00"/>
    <x v="2"/>
    <x v="2"/>
    <x v="2"/>
    <x v="4"/>
    <s v="Graphic Design"/>
    <x v="2"/>
    <x v="0"/>
    <s v="11:00-12:00  AM"/>
    <s v="Ongoin"/>
    <x v="0"/>
    <x v="11"/>
    <x v="0"/>
  </r>
  <r>
    <s v="ADM0105"/>
    <x v="623"/>
    <s v="STU0105"/>
    <s v="Aarush Dhandhukiya"/>
    <d v="2008-08-13T00:00:00"/>
    <x v="3"/>
    <x v="3"/>
    <x v="3"/>
    <x v="5"/>
    <s v="Graphic Design"/>
    <x v="3"/>
    <x v="0"/>
    <s v="10:00-11:00 AM"/>
    <s v="Ongoin"/>
    <x v="4"/>
    <x v="11"/>
    <x v="0"/>
  </r>
  <r>
    <s v="ADM0106"/>
    <x v="624"/>
    <s v="STU0106"/>
    <s v="Maitri Sariya"/>
    <d v="2004-11-20T00:00:00"/>
    <x v="0"/>
    <x v="0"/>
    <x v="4"/>
    <x v="6"/>
    <s v="Graphic Design"/>
    <x v="4"/>
    <x v="0"/>
    <s v="09:00 - 10:00 AM"/>
    <s v="Ongoin"/>
    <x v="2"/>
    <x v="11"/>
    <x v="0"/>
  </r>
  <r>
    <s v="ADM0442"/>
    <x v="625"/>
    <s v="STU0442"/>
    <s v="Kritika Vachhani"/>
    <d v="2005-07-22T00:00:00"/>
    <x v="4"/>
    <x v="4"/>
    <x v="5"/>
    <x v="2"/>
    <s v="Design"/>
    <x v="4"/>
    <x v="1"/>
    <s v="09:00 - 10:00 AM"/>
    <s v="Ongoin"/>
    <x v="2"/>
    <x v="11"/>
    <x v="1"/>
  </r>
  <r>
    <s v="ADM0443"/>
    <x v="626"/>
    <s v="STU0443"/>
    <s v="Shivangi Boricha"/>
    <d v="2002-12-14T00:00:00"/>
    <x v="3"/>
    <x v="3"/>
    <x v="6"/>
    <x v="3"/>
    <s v="Design &amp; Video Editing"/>
    <x v="5"/>
    <x v="1"/>
    <s v="03:00-04:00 PM"/>
    <s v="Ongoin"/>
    <x v="8"/>
    <x v="11"/>
    <x v="1"/>
  </r>
  <r>
    <s v="ADM0444"/>
    <x v="627"/>
    <s v="STU0444"/>
    <s v="Abhinandan Dholariya"/>
    <d v="2005-06-05T00:00:00"/>
    <x v="5"/>
    <x v="5"/>
    <x v="7"/>
    <x v="4"/>
    <s v="Graphic Design"/>
    <x v="6"/>
    <x v="1"/>
    <s v="06:00 - 07:00 PM"/>
    <s v="Ongoin"/>
    <x v="2"/>
    <x v="11"/>
    <x v="1"/>
  </r>
  <r>
    <s v="ADM0445"/>
    <x v="628"/>
    <s v="STU0445"/>
    <s v="Ritika Jivani"/>
    <d v="2004-09-29T00:00:00"/>
    <x v="0"/>
    <x v="0"/>
    <x v="8"/>
    <x v="5"/>
    <s v="Graphic Design"/>
    <x v="7"/>
    <x v="1"/>
    <s v="11:00-12:00  AM"/>
    <s v="Ongoin"/>
    <x v="0"/>
    <x v="11"/>
    <x v="1"/>
  </r>
  <r>
    <s v="ADM0446"/>
    <x v="629"/>
    <s v="STU0446"/>
    <s v="Prateek Mavani"/>
    <d v="2005-04-16T00:00:00"/>
    <x v="3"/>
    <x v="3"/>
    <x v="9"/>
    <x v="6"/>
    <s v="Graphic Design"/>
    <x v="0"/>
    <x v="1"/>
    <s v="10:00-11:00 AM"/>
    <s v="Ongoin"/>
    <x v="2"/>
    <x v="11"/>
    <x v="1"/>
  </r>
  <r>
    <s v="ADM0447"/>
    <x v="630"/>
    <s v="STU0447"/>
    <s v="Garvit Ramani"/>
    <d v="2004-02-03T00:00:00"/>
    <x v="6"/>
    <x v="6"/>
    <x v="10"/>
    <x v="7"/>
    <s v="UI/UX Design"/>
    <x v="1"/>
    <x v="1"/>
    <s v="04:00-05:00 PM"/>
    <s v="Ongoin"/>
    <x v="0"/>
    <x v="11"/>
    <x v="1"/>
  </r>
  <r>
    <s v="ADM0448"/>
    <x v="631"/>
    <s v="STU0448"/>
    <s v="Muskan Vekariya"/>
    <d v="2005-10-25T00:00:00"/>
    <x v="1"/>
    <x v="1"/>
    <x v="11"/>
    <x v="8"/>
    <s v="AI &amp; Data Science"/>
    <x v="2"/>
    <x v="1"/>
    <s v="09:00-10:00 AM"/>
    <s v="Ongoin"/>
    <x v="5"/>
    <x v="11"/>
    <x v="1"/>
  </r>
  <r>
    <s v="ADM0449"/>
    <x v="632"/>
    <s v="STU0449"/>
    <s v="Yashwant Savani"/>
    <d v="2004-06-20T00:00:00"/>
    <x v="3"/>
    <x v="3"/>
    <x v="12"/>
    <x v="9"/>
    <s v="Game Development"/>
    <x v="3"/>
    <x v="1"/>
    <s v="05:00- 06:00PM"/>
    <s v="Ongoin"/>
    <x v="0"/>
    <x v="11"/>
    <x v="1"/>
  </r>
  <r>
    <s v="ADM0450"/>
    <x v="633"/>
    <s v="STU0450"/>
    <s v="Anurag Keshwala"/>
    <d v="2005-01-08T00:00:00"/>
    <x v="7"/>
    <x v="7"/>
    <x v="13"/>
    <x v="0"/>
    <s v="Cyber Security"/>
    <x v="4"/>
    <x v="1"/>
    <s v="09:00 - 10:00 AM"/>
    <s v="Ongoin"/>
    <x v="2"/>
    <x v="11"/>
    <x v="1"/>
  </r>
  <r>
    <s v="ADM0451"/>
    <x v="634"/>
    <s v="STU0451"/>
    <s v="Divyanshi Ghelani"/>
    <d v="2004-08-12T00:00:00"/>
    <x v="3"/>
    <x v="3"/>
    <x v="14"/>
    <x v="1"/>
    <s v="Programming"/>
    <x v="5"/>
    <x v="1"/>
    <s v="03:00-04:00 PM"/>
    <s v="Ongoin"/>
    <x v="0"/>
    <x v="11"/>
    <x v="1"/>
  </r>
  <r>
    <s v="ADM0452"/>
    <x v="635"/>
    <s v="STU0452"/>
    <s v="Naman Khorani"/>
    <d v="2009-03-31T00:00:00"/>
    <x v="7"/>
    <x v="7"/>
    <x v="13"/>
    <x v="2"/>
    <s v="Design"/>
    <x v="6"/>
    <x v="1"/>
    <s v="06:00 - 07:00 PM"/>
    <s v="Ongoin"/>
    <x v="6"/>
    <x v="11"/>
    <x v="1"/>
  </r>
  <r>
    <s v="ADM0453"/>
    <x v="636"/>
    <s v="STU0453"/>
    <s v="Ishika Padhiyar"/>
    <d v="2004-09-04T00:00:00"/>
    <x v="3"/>
    <x v="3"/>
    <x v="14"/>
    <x v="3"/>
    <s v="Design &amp; Video Editing"/>
    <x v="7"/>
    <x v="1"/>
    <s v="11:00-12:00  AM"/>
    <s v="Ongoin"/>
    <x v="0"/>
    <x v="11"/>
    <x v="1"/>
  </r>
  <r>
    <s v="ADM0454"/>
    <x v="637"/>
    <s v="STU0454"/>
    <s v="Aarav Virda"/>
    <d v="2005-12-17T00:00:00"/>
    <x v="0"/>
    <x v="0"/>
    <x v="0"/>
    <x v="4"/>
    <s v="Graphic Design"/>
    <x v="0"/>
    <x v="1"/>
    <s v="10:00-11:00 AM"/>
    <s v="Ongoin"/>
    <x v="5"/>
    <x v="11"/>
    <x v="1"/>
  </r>
  <r>
    <s v="ADM0455"/>
    <x v="638"/>
    <s v="STU0455"/>
    <s v="Mehak Chotaliya"/>
    <d v="2004-05-23T00:00:00"/>
    <x v="1"/>
    <x v="1"/>
    <x v="1"/>
    <x v="5"/>
    <s v="Graphic Design"/>
    <x v="1"/>
    <x v="1"/>
    <s v="04:00-05:00 PM"/>
    <s v="Ongoin"/>
    <x v="0"/>
    <x v="11"/>
    <x v="1"/>
  </r>
  <r>
    <s v="ADM0456"/>
    <x v="639"/>
    <s v="STU0456"/>
    <s v="Ishaan Kachot"/>
    <d v="2005-02-06T00:00:00"/>
    <x v="2"/>
    <x v="2"/>
    <x v="2"/>
    <x v="6"/>
    <s v="Graphic Design"/>
    <x v="2"/>
    <x v="1"/>
    <s v="09:00-10:00 AM"/>
    <s v="Ongoin"/>
    <x v="2"/>
    <x v="11"/>
    <x v="1"/>
  </r>
  <r>
    <s v="ADM0457"/>
    <x v="640"/>
    <s v="STU0457"/>
    <s v="Tanisha Vaghasiya"/>
    <d v="2004-07-28T00:00:00"/>
    <x v="3"/>
    <x v="3"/>
    <x v="3"/>
    <x v="7"/>
    <s v="UI/UX Design"/>
    <x v="3"/>
    <x v="1"/>
    <s v="05:00- 06:00PM"/>
    <s v="Ongoin"/>
    <x v="0"/>
    <x v="11"/>
    <x v="1"/>
  </r>
  <r>
    <s v="ADM0458"/>
    <x v="641"/>
    <s v="STU0458"/>
    <s v="Raghav Pansuriya"/>
    <d v="2005-11-15T00:00:00"/>
    <x v="0"/>
    <x v="0"/>
    <x v="4"/>
    <x v="8"/>
    <s v="AI &amp; Data Science"/>
    <x v="4"/>
    <x v="1"/>
    <s v="09:00 - 10:00 AM"/>
    <s v="Ongoin"/>
    <x v="5"/>
    <x v="11"/>
    <x v="1"/>
  </r>
  <r>
    <s v="ADM0459"/>
    <x v="642"/>
    <s v="STU0459"/>
    <s v="Palak Lathiya"/>
    <d v="2008-04-01T00:00:00"/>
    <x v="4"/>
    <x v="4"/>
    <x v="5"/>
    <x v="9"/>
    <s v="Game Development"/>
    <x v="5"/>
    <x v="1"/>
    <s v="03:00-04:00 PM"/>
    <s v="Ongoin"/>
    <x v="4"/>
    <x v="11"/>
    <x v="1"/>
  </r>
  <r>
    <s v="ADM0460"/>
    <x v="643"/>
    <s v="STU0460"/>
    <s v="Anshuman Jethwa"/>
    <d v="2005-08-19T00:00:00"/>
    <x v="3"/>
    <x v="3"/>
    <x v="6"/>
    <x v="0"/>
    <s v="Cyber Security"/>
    <x v="6"/>
    <x v="1"/>
    <s v="06:00 - 07:00 PM"/>
    <s v="Ongoin"/>
    <x v="2"/>
    <x v="11"/>
    <x v="1"/>
  </r>
  <r>
    <s v="ADM0461"/>
    <x v="644"/>
    <s v="STU0461"/>
    <s v="Kritika Dhanani"/>
    <d v="2004-12-10T00:00:00"/>
    <x v="5"/>
    <x v="5"/>
    <x v="7"/>
    <x v="1"/>
    <s v="Programming"/>
    <x v="7"/>
    <x v="1"/>
    <s v="11:00-12:00  AM"/>
    <s v="Ongoin"/>
    <x v="2"/>
    <x v="11"/>
    <x v="1"/>
  </r>
  <r>
    <s v="ADM0462"/>
    <x v="645"/>
    <s v="STU0462"/>
    <s v="Shivangi Kharva"/>
    <d v="2005-03-24T00:00:00"/>
    <x v="0"/>
    <x v="0"/>
    <x v="8"/>
    <x v="2"/>
    <s v="Design"/>
    <x v="0"/>
    <x v="1"/>
    <s v="10:00-11:00 AM"/>
    <s v="Ongoin"/>
    <x v="2"/>
    <x v="11"/>
    <x v="1"/>
  </r>
  <r>
    <s v="ADM0463"/>
    <x v="646"/>
    <s v="STU0463"/>
    <s v="Abhinandan Gajera"/>
    <d v="2004-06-07T00:00:00"/>
    <x v="3"/>
    <x v="3"/>
    <x v="9"/>
    <x v="3"/>
    <s v="Design &amp; Video Editing"/>
    <x v="1"/>
    <x v="1"/>
    <s v="09:00 - 10:00 AM"/>
    <s v="Ongoin"/>
    <x v="0"/>
    <x v="11"/>
    <x v="1"/>
  </r>
  <r>
    <s v="ADM0464"/>
    <x v="647"/>
    <s v="STU0464"/>
    <s v="Ritika Gadhiya"/>
    <d v="2005-10-13T00:00:00"/>
    <x v="6"/>
    <x v="6"/>
    <x v="10"/>
    <x v="4"/>
    <s v="Graphic Design"/>
    <x v="2"/>
    <x v="1"/>
    <s v="03:00-04:00 PM"/>
    <s v="Ongoin"/>
    <x v="2"/>
    <x v="11"/>
    <x v="1"/>
  </r>
  <r>
    <s v="ADM0465"/>
    <x v="648"/>
    <s v="STU0465"/>
    <s v="Prateek Chikani"/>
    <d v="2007-01-26T00:00:00"/>
    <x v="1"/>
    <x v="1"/>
    <x v="11"/>
    <x v="5"/>
    <s v="Graphic Design"/>
    <x v="3"/>
    <x v="1"/>
    <s v="06:00 - 07:00 PM"/>
    <s v="Ongoin"/>
    <x v="3"/>
    <x v="11"/>
    <x v="1"/>
  </r>
  <r>
    <s v="ADM0466"/>
    <x v="649"/>
    <s v="STU0466"/>
    <s v="Garvit Bhadarka"/>
    <d v="2005-05-02T00:00:00"/>
    <x v="3"/>
    <x v="3"/>
    <x v="12"/>
    <x v="6"/>
    <s v="Graphic Design"/>
    <x v="4"/>
    <x v="1"/>
    <s v="11:00-12:00  AM"/>
    <s v="Ongoin"/>
    <x v="2"/>
    <x v="11"/>
    <x v="1"/>
  </r>
  <r>
    <s v="ADM0467"/>
    <x v="650"/>
    <s v="STU0467"/>
    <s v="Muskan Bhalani"/>
    <d v="2004-09-18T00:00:00"/>
    <x v="7"/>
    <x v="7"/>
    <x v="13"/>
    <x v="7"/>
    <s v="UI/UX Design"/>
    <x v="5"/>
    <x v="1"/>
    <s v="10:00-11:00 AM"/>
    <s v="Ongoin"/>
    <x v="0"/>
    <x v="11"/>
    <x v="1"/>
  </r>
  <r>
    <s v="ADM0468"/>
    <x v="651"/>
    <s v="STU0468"/>
    <s v="Yashwant Kankot"/>
    <d v="2005-06-29T00:00:00"/>
    <x v="3"/>
    <x v="3"/>
    <x v="14"/>
    <x v="8"/>
    <s v="AI &amp; Data Science"/>
    <x v="6"/>
    <x v="1"/>
    <s v="04:00-05:00 PM"/>
    <s v="Ongoin"/>
    <x v="2"/>
    <x v="11"/>
    <x v="1"/>
  </r>
  <r>
    <s v="ADM0469"/>
    <x v="652"/>
    <s v="STU0469"/>
    <s v="Anurag Khandhediya"/>
    <d v="2004-03-05T00:00:00"/>
    <x v="0"/>
    <x v="0"/>
    <x v="0"/>
    <x v="9"/>
    <s v="Game Development"/>
    <x v="7"/>
    <x v="1"/>
    <s v="09:00-10:00 AM"/>
    <s v="Ongoin"/>
    <x v="0"/>
    <x v="11"/>
    <x v="1"/>
  </r>
  <r>
    <s v="ADM0470"/>
    <x v="653"/>
    <s v="STU0470"/>
    <s v="Divyanshi Gajipara"/>
    <d v="2005-08-21T00:00:00"/>
    <x v="1"/>
    <x v="1"/>
    <x v="1"/>
    <x v="0"/>
    <s v="Cyber Security"/>
    <x v="0"/>
    <x v="1"/>
    <s v="05:00- 06:00PM"/>
    <s v="Ongoin"/>
    <x v="2"/>
    <x v="11"/>
    <x v="1"/>
  </r>
  <r>
    <s v="ADM0471"/>
    <x v="654"/>
    <s v="STU0471"/>
    <s v="Naman Kothiya"/>
    <d v="2004-11-14T00:00:00"/>
    <x v="2"/>
    <x v="2"/>
    <x v="2"/>
    <x v="1"/>
    <s v="Programming"/>
    <x v="1"/>
    <x v="1"/>
    <s v="09:00 - 10:00 AM"/>
    <s v="Ongoin"/>
    <x v="2"/>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F860BD-F2C9-4243-A0F3-697360AFF2F6}" name="PivotTable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6:A7" firstHeaderRow="1" firstDataRow="1" firstDataCol="0"/>
  <pivotFields count="18">
    <pivotField showAll="0"/>
    <pivotField numFmtId="14" showAll="0">
      <items count="656">
        <item x="398"/>
        <item x="399"/>
        <item x="400"/>
        <item x="401"/>
        <item x="402"/>
        <item x="403"/>
        <item x="404"/>
        <item x="405"/>
        <item x="406"/>
        <item x="407"/>
        <item x="408"/>
        <item x="409"/>
        <item x="410"/>
        <item x="411"/>
        <item x="412"/>
        <item x="413"/>
        <item x="41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0"/>
        <item x="1"/>
        <item x="2"/>
        <item x="3"/>
        <item x="4"/>
        <item x="5"/>
        <item x="6"/>
        <item x="7"/>
        <item x="8"/>
        <item x="9"/>
        <item x="10"/>
        <item x="11"/>
        <item x="12"/>
        <item x="13"/>
        <item x="14"/>
        <item x="15"/>
        <item x="16"/>
        <item x="17"/>
        <item x="18"/>
        <item x="19"/>
        <item x="20"/>
        <item x="21"/>
        <item x="22"/>
        <item x="23"/>
        <item x="24"/>
        <item x="25"/>
        <item x="26"/>
        <item x="27"/>
        <item x="28"/>
        <item x="2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3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dataField="1" showAll="0"/>
    <pivotField showAll="0"/>
    <pivotField numFmtId="14" showAll="0"/>
    <pivotField showAll="0"/>
    <pivotField showAll="0">
      <items count="11">
        <item h="1" x="0"/>
        <item h="1" x="4"/>
        <item h="1" x="9"/>
        <item h="1" x="6"/>
        <item h="1" x="7"/>
        <item h="1" x="5"/>
        <item h="1" x="8"/>
        <item h="1" x="2"/>
        <item h="1" x="1"/>
        <item x="3"/>
        <item t="default"/>
      </items>
    </pivotField>
    <pivotField showAll="0"/>
    <pivotField showAll="0"/>
    <pivotField showAll="0"/>
    <pivotField showAll="0"/>
    <pivotField showAll="0"/>
    <pivotField showAll="0"/>
    <pivotField showAll="0"/>
    <pivotField showAll="0"/>
    <pivotField showAll="0">
      <items count="13">
        <item h="1" x="7"/>
        <item h="1" x="8"/>
        <item h="1" x="4"/>
        <item h="1" x="11"/>
        <item x="3"/>
        <item h="1" x="5"/>
        <item h="1" x="6"/>
        <item h="1" x="10"/>
        <item h="1" x="0"/>
        <item h="1" x="1"/>
        <item h="1" x="2"/>
        <item h="1" x="9"/>
        <item t="default"/>
      </items>
    </pivotField>
    <pivotField showAll="0">
      <items count="3">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Total Student" fld="2" subtotal="count" baseField="0" baseItem="0"/>
  </dataFields>
  <formats count="4">
    <format dxfId="24">
      <pivotArea dataOnly="0" labelOnly="1" outline="0" axis="axisValues" fieldPosition="0"/>
    </format>
    <format dxfId="23">
      <pivotArea dataOnly="0" labelOnly="1" outline="0" axis="axisValues" fieldPosition="0"/>
    </format>
    <format dxfId="22">
      <pivotArea outline="0" collapsedLevelsAreSubtotals="1"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3B0A18-6B07-450D-91CC-F4589565B1D6}"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A3" firstHeaderRow="1" firstDataRow="1" firstDataCol="0"/>
  <pivotFields count="18">
    <pivotField dataField="1" showAll="0"/>
    <pivotField numFmtId="14" showAll="0">
      <items count="656">
        <item x="398"/>
        <item x="399"/>
        <item x="400"/>
        <item x="401"/>
        <item x="402"/>
        <item x="403"/>
        <item x="404"/>
        <item x="405"/>
        <item x="406"/>
        <item x="407"/>
        <item x="408"/>
        <item x="409"/>
        <item x="410"/>
        <item x="411"/>
        <item x="412"/>
        <item x="413"/>
        <item x="41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0"/>
        <item x="1"/>
        <item x="2"/>
        <item x="3"/>
        <item x="4"/>
        <item x="5"/>
        <item x="6"/>
        <item x="7"/>
        <item x="8"/>
        <item x="9"/>
        <item x="10"/>
        <item x="11"/>
        <item x="12"/>
        <item x="13"/>
        <item x="14"/>
        <item x="15"/>
        <item x="16"/>
        <item x="17"/>
        <item x="18"/>
        <item x="19"/>
        <item x="20"/>
        <item x="21"/>
        <item x="22"/>
        <item x="23"/>
        <item x="24"/>
        <item x="25"/>
        <item x="26"/>
        <item x="27"/>
        <item x="28"/>
        <item x="2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3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showAll="0"/>
    <pivotField showAll="0"/>
    <pivotField numFmtId="14" showAll="0"/>
    <pivotField showAll="0"/>
    <pivotField showAll="0">
      <items count="11">
        <item h="1" x="0"/>
        <item h="1" x="4"/>
        <item h="1" x="9"/>
        <item h="1" x="6"/>
        <item h="1" x="7"/>
        <item h="1" x="5"/>
        <item h="1" x="8"/>
        <item h="1" x="2"/>
        <item h="1" x="1"/>
        <item x="3"/>
        <item t="default"/>
      </items>
    </pivotField>
    <pivotField showAll="0"/>
    <pivotField showAll="0"/>
    <pivotField showAll="0"/>
    <pivotField showAll="0"/>
    <pivotField showAll="0"/>
    <pivotField showAll="0"/>
    <pivotField showAll="0"/>
    <pivotField showAll="0"/>
    <pivotField showAll="0">
      <items count="13">
        <item h="1" x="7"/>
        <item h="1" x="8"/>
        <item h="1" x="4"/>
        <item h="1" x="11"/>
        <item x="3"/>
        <item h="1" x="5"/>
        <item h="1" x="6"/>
        <item h="1" x="10"/>
        <item h="1" x="0"/>
        <item h="1" x="1"/>
        <item h="1" x="2"/>
        <item h="1" x="9"/>
        <item t="default"/>
      </items>
    </pivotField>
    <pivotField showAll="0">
      <items count="3">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Items count="1">
    <i/>
  </rowItems>
  <colItems count="1">
    <i/>
  </colItems>
  <dataFields count="1">
    <dataField name="Total Admission" fld="0" subtotal="count" baseField="0" baseItem="0"/>
  </dataFields>
  <formats count="5">
    <format dxfId="29">
      <pivotArea dataOnly="0" labelOnly="1" outline="0" axis="axisValues" fieldPosition="0"/>
    </format>
    <format dxfId="28">
      <pivotArea outline="0" collapsedLevelsAreSubtotals="1" fieldPosition="0"/>
    </format>
    <format dxfId="27">
      <pivotArea dataOnly="0" labelOnly="1" outline="0" axis="axisValues" fieldPosition="0"/>
    </format>
    <format dxfId="26">
      <pivotArea dataOnly="0" labelOnly="1" outline="0" axis="axisValues"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47517E-067F-4FF2-9D3B-AF998BD44822}" name="PivotTable9" cacheId="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8" rowHeaderCaption="Branch Area">
  <location ref="K2:L7" firstHeaderRow="1" firstDataRow="1" firstDataCol="1"/>
  <pivotFields count="18">
    <pivotField dataField="1" showAll="0"/>
    <pivotField numFmtId="14" showAll="0">
      <items count="656">
        <item x="398"/>
        <item x="399"/>
        <item x="400"/>
        <item x="401"/>
        <item x="402"/>
        <item x="403"/>
        <item x="404"/>
        <item x="405"/>
        <item x="406"/>
        <item x="407"/>
        <item x="408"/>
        <item x="409"/>
        <item x="410"/>
        <item x="411"/>
        <item x="412"/>
        <item x="413"/>
        <item x="41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0"/>
        <item x="1"/>
        <item x="2"/>
        <item x="3"/>
        <item x="4"/>
        <item x="5"/>
        <item x="6"/>
        <item x="7"/>
        <item x="8"/>
        <item x="9"/>
        <item x="10"/>
        <item x="11"/>
        <item x="12"/>
        <item x="13"/>
        <item x="14"/>
        <item x="15"/>
        <item x="16"/>
        <item x="17"/>
        <item x="18"/>
        <item x="19"/>
        <item x="20"/>
        <item x="21"/>
        <item x="22"/>
        <item x="23"/>
        <item x="24"/>
        <item x="25"/>
        <item x="26"/>
        <item x="27"/>
        <item x="28"/>
        <item x="2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3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showAll="0"/>
    <pivotField showAll="0"/>
    <pivotField numFmtId="14" showAll="0"/>
    <pivotField showAll="0">
      <items count="16">
        <item x="4"/>
        <item m="1" x="14"/>
        <item m="1" x="10"/>
        <item x="8"/>
        <item m="1" x="12"/>
        <item m="1" x="11"/>
        <item x="1"/>
        <item m="1" x="13"/>
        <item x="3"/>
        <item x="0"/>
        <item x="9"/>
        <item x="7"/>
        <item x="5"/>
        <item x="2"/>
        <item x="6"/>
        <item t="default"/>
      </items>
    </pivotField>
    <pivotField showAll="0">
      <items count="11">
        <item h="1" x="0"/>
        <item h="1" x="4"/>
        <item h="1" x="9"/>
        <item h="1" x="6"/>
        <item h="1" x="7"/>
        <item h="1" x="5"/>
        <item h="1" x="8"/>
        <item h="1" x="2"/>
        <item h="1" x="1"/>
        <item x="3"/>
        <item t="default"/>
      </items>
    </pivotField>
    <pivotField axis="axisRow" showAll="0" sortType="descending">
      <items count="22">
        <item x="9"/>
        <item x="19"/>
        <item x="10"/>
        <item x="13"/>
        <item x="0"/>
        <item x="18"/>
        <item x="5"/>
        <item x="7"/>
        <item x="15"/>
        <item x="1"/>
        <item x="20"/>
        <item x="11"/>
        <item x="3"/>
        <item x="17"/>
        <item x="2"/>
        <item x="8"/>
        <item x="4"/>
        <item x="14"/>
        <item x="12"/>
        <item x="16"/>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 showAll="0"/>
    <pivotField showAll="0"/>
    <pivotField showAll="0">
      <items count="10">
        <item x="1"/>
        <item x="6"/>
        <item x="4"/>
        <item x="3"/>
        <item x="5"/>
        <item x="2"/>
        <item x="0"/>
        <item x="8"/>
        <item x="7"/>
        <item t="default"/>
      </items>
    </pivotField>
    <pivotField showAll="0">
      <items count="13">
        <item h="1" x="7"/>
        <item h="1" x="8"/>
        <item h="1" x="4"/>
        <item h="1" x="11"/>
        <item x="3"/>
        <item h="1" x="5"/>
        <item h="1" x="6"/>
        <item h="1" x="10"/>
        <item h="1" x="0"/>
        <item h="1" x="1"/>
        <item h="1" x="2"/>
        <item h="1" x="9"/>
        <item t="default"/>
      </items>
    </pivotField>
    <pivotField showAll="0">
      <items count="3">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7"/>
  </rowFields>
  <rowItems count="5">
    <i>
      <x v="18"/>
    </i>
    <i>
      <x/>
    </i>
    <i>
      <x v="20"/>
    </i>
    <i>
      <x v="12"/>
    </i>
    <i>
      <x v="17"/>
    </i>
  </rowItems>
  <colItems count="1">
    <i/>
  </colItems>
  <dataFields count="1">
    <dataField name="Total Admission" fld="0" subtotal="count" baseField="11" baseItem="0"/>
  </dataFields>
  <formats count="11">
    <format dxfId="40">
      <pivotArea dataOnly="0" labelOnly="1" outline="0" axis="axisValues" fieldPosition="0"/>
    </format>
    <format dxfId="39">
      <pivotArea outline="0" collapsedLevelsAreSubtotals="1" fieldPosition="0"/>
    </format>
    <format dxfId="38">
      <pivotArea dataOnly="0" labelOnly="1" outline="0" axis="axisValues" fieldPosition="0"/>
    </format>
    <format dxfId="37">
      <pivotArea dataOnly="0" labelOnly="1" outline="0" axis="axisValues" fieldPosition="0"/>
    </format>
    <format dxfId="36">
      <pivotArea field="11" type="button" dataOnly="0" labelOnly="1" outline="0"/>
    </format>
    <format dxfId="35">
      <pivotArea field="14" type="button" dataOnly="0" labelOnly="1" outline="0"/>
    </format>
    <format dxfId="34">
      <pivotArea field="5" type="button" dataOnly="0" labelOnly="1" outline="0"/>
    </format>
    <format dxfId="33">
      <pivotArea field="7" type="button" dataOnly="0" labelOnly="1" outline="0" axis="axisRow" fieldPosition="0"/>
    </format>
    <format dxfId="32">
      <pivotArea dataOnly="0" labelOnly="1" fieldPosition="0">
        <references count="1">
          <reference field="7" count="0"/>
        </references>
      </pivotArea>
    </format>
    <format dxfId="31">
      <pivotArea field="7" type="button" dataOnly="0" labelOnly="1" outline="0" axis="axisRow" fieldPosition="0"/>
    </format>
    <format dxfId="30">
      <pivotArea dataOnly="0" labelOnly="1" outline="0" axis="axisValues" fieldPosition="0"/>
    </format>
  </formats>
  <chartFormats count="23">
    <chartFormat chart="2" format="23" series="1">
      <pivotArea type="data" outline="0" fieldPosition="0">
        <references count="1">
          <reference field="4294967294" count="1" selected="0">
            <x v="0"/>
          </reference>
        </references>
      </pivotArea>
    </chartFormat>
    <chartFormat chart="2" format="24">
      <pivotArea type="data" outline="0" fieldPosition="0">
        <references count="2">
          <reference field="4294967294" count="1" selected="0">
            <x v="0"/>
          </reference>
          <reference field="7" count="1" selected="0">
            <x v="3"/>
          </reference>
        </references>
      </pivotArea>
    </chartFormat>
    <chartFormat chart="2" format="25">
      <pivotArea type="data" outline="0" fieldPosition="0">
        <references count="2">
          <reference field="4294967294" count="1" selected="0">
            <x v="0"/>
          </reference>
          <reference field="7" count="1" selected="0">
            <x v="17"/>
          </reference>
        </references>
      </pivotArea>
    </chartFormat>
    <chartFormat chart="2" format="26">
      <pivotArea type="data" outline="0" fieldPosition="0">
        <references count="2">
          <reference field="4294967294" count="1" selected="0">
            <x v="0"/>
          </reference>
          <reference field="7" count="1" selected="0">
            <x v="9"/>
          </reference>
        </references>
      </pivotArea>
    </chartFormat>
    <chartFormat chart="2" format="27">
      <pivotArea type="data" outline="0" fieldPosition="0">
        <references count="2">
          <reference field="4294967294" count="1" selected="0">
            <x v="0"/>
          </reference>
          <reference field="7" count="1" selected="0">
            <x v="6"/>
          </reference>
        </references>
      </pivotArea>
    </chartFormat>
    <chartFormat chart="2" format="28">
      <pivotArea type="data" outline="0" fieldPosition="0">
        <references count="2">
          <reference field="4294967294" count="1" selected="0">
            <x v="0"/>
          </reference>
          <reference field="7" count="1" selected="0">
            <x v="11"/>
          </reference>
        </references>
      </pivotArea>
    </chartFormat>
    <chartFormat chart="2" format="29">
      <pivotArea type="data" outline="0" fieldPosition="0">
        <references count="2">
          <reference field="4294967294" count="1" selected="0">
            <x v="0"/>
          </reference>
          <reference field="7" count="1" selected="0">
            <x v="18"/>
          </reference>
        </references>
      </pivotArea>
    </chartFormat>
    <chartFormat chart="2" format="30">
      <pivotArea type="data" outline="0" fieldPosition="0">
        <references count="2">
          <reference field="4294967294" count="1" selected="0">
            <x v="0"/>
          </reference>
          <reference field="7" count="1" selected="0">
            <x v="15"/>
          </reference>
        </references>
      </pivotArea>
    </chartFormat>
    <chartFormat chart="2" format="31">
      <pivotArea type="data" outline="0" fieldPosition="0">
        <references count="2">
          <reference field="4294967294" count="1" selected="0">
            <x v="0"/>
          </reference>
          <reference field="7" count="1" selected="0">
            <x v="0"/>
          </reference>
        </references>
      </pivotArea>
    </chartFormat>
    <chartFormat chart="2" format="32">
      <pivotArea type="data" outline="0" fieldPosition="0">
        <references count="2">
          <reference field="4294967294" count="1" selected="0">
            <x v="0"/>
          </reference>
          <reference field="7" count="1" selected="0">
            <x v="12"/>
          </reference>
        </references>
      </pivotArea>
    </chartFormat>
    <chartFormat chart="2" format="33">
      <pivotArea type="data" outline="0" fieldPosition="0">
        <references count="2">
          <reference field="4294967294" count="1" selected="0">
            <x v="0"/>
          </reference>
          <reference field="7" count="1" selected="0">
            <x v="2"/>
          </reference>
        </references>
      </pivotArea>
    </chartFormat>
    <chartFormat chart="2" format="34">
      <pivotArea type="data" outline="0" fieldPosition="0">
        <references count="2">
          <reference field="4294967294" count="1" selected="0">
            <x v="0"/>
          </reference>
          <reference field="7" count="1" selected="0">
            <x v="16"/>
          </reference>
        </references>
      </pivotArea>
    </chartFormat>
    <chartFormat chart="2" format="35">
      <pivotArea type="data" outline="0" fieldPosition="0">
        <references count="2">
          <reference field="4294967294" count="1" selected="0">
            <x v="0"/>
          </reference>
          <reference field="7" count="1" selected="0">
            <x v="20"/>
          </reference>
        </references>
      </pivotArea>
    </chartFormat>
    <chartFormat chart="2" format="36">
      <pivotArea type="data" outline="0" fieldPosition="0">
        <references count="2">
          <reference field="4294967294" count="1" selected="0">
            <x v="0"/>
          </reference>
          <reference field="7" count="1" selected="0">
            <x v="7"/>
          </reference>
        </references>
      </pivotArea>
    </chartFormat>
    <chartFormat chart="2" format="37">
      <pivotArea type="data" outline="0" fieldPosition="0">
        <references count="2">
          <reference field="4294967294" count="1" selected="0">
            <x v="0"/>
          </reference>
          <reference field="7" count="1" selected="0">
            <x v="4"/>
          </reference>
        </references>
      </pivotArea>
    </chartFormat>
    <chartFormat chart="2" format="38">
      <pivotArea type="data" outline="0" fieldPosition="0">
        <references count="2">
          <reference field="4294967294" count="1" selected="0">
            <x v="0"/>
          </reference>
          <reference field="7" count="1" selected="0">
            <x v="14"/>
          </reference>
        </references>
      </pivotArea>
    </chartFormat>
    <chartFormat chart="2" format="39">
      <pivotArea type="data" outline="0" fieldPosition="0">
        <references count="2">
          <reference field="4294967294" count="1" selected="0">
            <x v="0"/>
          </reference>
          <reference field="7" count="1" selected="0">
            <x v="19"/>
          </reference>
        </references>
      </pivotArea>
    </chartFormat>
    <chartFormat chart="2" format="40">
      <pivotArea type="data" outline="0" fieldPosition="0">
        <references count="2">
          <reference field="4294967294" count="1" selected="0">
            <x v="0"/>
          </reference>
          <reference field="7" count="1" selected="0">
            <x v="5"/>
          </reference>
        </references>
      </pivotArea>
    </chartFormat>
    <chartFormat chart="2" format="41">
      <pivotArea type="data" outline="0" fieldPosition="0">
        <references count="2">
          <reference field="4294967294" count="1" selected="0">
            <x v="0"/>
          </reference>
          <reference field="7" count="1" selected="0">
            <x v="13"/>
          </reference>
        </references>
      </pivotArea>
    </chartFormat>
    <chartFormat chart="2" format="42">
      <pivotArea type="data" outline="0" fieldPosition="0">
        <references count="2">
          <reference field="4294967294" count="1" selected="0">
            <x v="0"/>
          </reference>
          <reference field="7" count="1" selected="0">
            <x v="1"/>
          </reference>
        </references>
      </pivotArea>
    </chartFormat>
    <chartFormat chart="2" format="43">
      <pivotArea type="data" outline="0" fieldPosition="0">
        <references count="2">
          <reference field="4294967294" count="1" selected="0">
            <x v="0"/>
          </reference>
          <reference field="7" count="1" selected="0">
            <x v="10"/>
          </reference>
        </references>
      </pivotArea>
    </chartFormat>
    <chartFormat chart="2" format="44">
      <pivotArea type="data" outline="0" fieldPosition="0">
        <references count="2">
          <reference field="4294967294" count="1" selected="0">
            <x v="0"/>
          </reference>
          <reference field="7" count="1" selected="0">
            <x v="8"/>
          </reference>
        </references>
      </pivotArea>
    </chartFormat>
    <chartFormat chart="2" format="4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FB23ED-42C0-4615-9798-565A3D4DFE13}" name="PivotTable7" cacheId="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Age">
  <location ref="D7:E12" firstHeaderRow="1" firstDataRow="1" firstDataCol="1"/>
  <pivotFields count="18">
    <pivotField dataField="1" showAll="0"/>
    <pivotField numFmtId="14" showAll="0">
      <items count="656">
        <item x="398"/>
        <item x="399"/>
        <item x="400"/>
        <item x="401"/>
        <item x="402"/>
        <item x="403"/>
        <item x="404"/>
        <item x="405"/>
        <item x="406"/>
        <item x="407"/>
        <item x="408"/>
        <item x="409"/>
        <item x="410"/>
        <item x="411"/>
        <item x="412"/>
        <item x="413"/>
        <item x="41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0"/>
        <item x="1"/>
        <item x="2"/>
        <item x="3"/>
        <item x="4"/>
        <item x="5"/>
        <item x="6"/>
        <item x="7"/>
        <item x="8"/>
        <item x="9"/>
        <item x="10"/>
        <item x="11"/>
        <item x="12"/>
        <item x="13"/>
        <item x="14"/>
        <item x="15"/>
        <item x="16"/>
        <item x="17"/>
        <item x="18"/>
        <item x="19"/>
        <item x="20"/>
        <item x="21"/>
        <item x="22"/>
        <item x="23"/>
        <item x="24"/>
        <item x="25"/>
        <item x="26"/>
        <item x="27"/>
        <item x="28"/>
        <item x="2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3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showAll="0"/>
    <pivotField showAll="0"/>
    <pivotField numFmtId="14" showAll="0"/>
    <pivotField showAll="0"/>
    <pivotField showAll="0">
      <items count="11">
        <item h="1" x="0"/>
        <item h="1" x="4"/>
        <item h="1" x="9"/>
        <item h="1" x="6"/>
        <item h="1" x="7"/>
        <item h="1" x="5"/>
        <item h="1" x="8"/>
        <item h="1" x="2"/>
        <item h="1" x="1"/>
        <item x="3"/>
        <item t="default"/>
      </items>
    </pivotField>
    <pivotField showAll="0"/>
    <pivotField showAll="0"/>
    <pivotField showAll="0"/>
    <pivotField showAll="0"/>
    <pivotField showAll="0">
      <items count="3">
        <item x="1"/>
        <item x="0"/>
        <item t="default"/>
      </items>
    </pivotField>
    <pivotField showAll="0"/>
    <pivotField showAll="0"/>
    <pivotField axis="axisRow" showAll="0">
      <items count="10">
        <item x="1"/>
        <item x="6"/>
        <item x="4"/>
        <item x="3"/>
        <item x="5"/>
        <item x="2"/>
        <item x="0"/>
        <item x="8"/>
        <item x="7"/>
        <item t="default"/>
      </items>
    </pivotField>
    <pivotField showAll="0">
      <items count="13">
        <item h="1" x="7"/>
        <item h="1" x="8"/>
        <item h="1" x="4"/>
        <item h="1" x="11"/>
        <item x="3"/>
        <item h="1" x="5"/>
        <item h="1" x="6"/>
        <item h="1" x="10"/>
        <item h="1" x="0"/>
        <item h="1" x="1"/>
        <item h="1" x="2"/>
        <item h="1" x="9"/>
        <item t="default"/>
      </items>
    </pivotField>
    <pivotField showAll="0">
      <items count="3">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4"/>
  </rowFields>
  <rowItems count="5">
    <i>
      <x v="1"/>
    </i>
    <i>
      <x v="2"/>
    </i>
    <i>
      <x v="4"/>
    </i>
    <i>
      <x v="5"/>
    </i>
    <i>
      <x v="6"/>
    </i>
  </rowItems>
  <colItems count="1">
    <i/>
  </colItems>
  <dataFields count="1">
    <dataField name="Total Admission" fld="0" subtotal="count" baseField="11" baseItem="0"/>
  </dataFields>
  <formats count="9">
    <format dxfId="49">
      <pivotArea dataOnly="0" labelOnly="1" outline="0" axis="axisValues" fieldPosition="0"/>
    </format>
    <format dxfId="48">
      <pivotArea outline="0" collapsedLevelsAreSubtotals="1" fieldPosition="0"/>
    </format>
    <format dxfId="47">
      <pivotArea dataOnly="0" labelOnly="1" outline="0" axis="axisValues" fieldPosition="0"/>
    </format>
    <format dxfId="46">
      <pivotArea dataOnly="0" labelOnly="1" outline="0" axis="axisValues" fieldPosition="0"/>
    </format>
    <format dxfId="45">
      <pivotArea field="11" type="button" dataOnly="0" labelOnly="1" outline="0"/>
    </format>
    <format dxfId="44">
      <pivotArea dataOnly="0" labelOnly="1" fieldPosition="0">
        <references count="1">
          <reference field="14" count="0"/>
        </references>
      </pivotArea>
    </format>
    <format dxfId="43">
      <pivotArea field="14" type="button" dataOnly="0" labelOnly="1" outline="0" axis="axisRow" fieldPosition="0"/>
    </format>
    <format dxfId="42">
      <pivotArea field="14" type="button" dataOnly="0" labelOnly="1" outline="0" axis="axisRow" fieldPosition="0"/>
    </format>
    <format dxfId="4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E3BB8B-8EA4-4549-983C-3C14B234127D}" name="PivotTable10" cacheId="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Course">
  <location ref="A13:B19" firstHeaderRow="1" firstDataRow="1" firstDataCol="1"/>
  <pivotFields count="18">
    <pivotField dataField="1" showAll="0"/>
    <pivotField numFmtId="14" showAll="0">
      <items count="656">
        <item x="398"/>
        <item x="399"/>
        <item x="400"/>
        <item x="401"/>
        <item x="402"/>
        <item x="403"/>
        <item x="404"/>
        <item x="405"/>
        <item x="406"/>
        <item x="407"/>
        <item x="408"/>
        <item x="409"/>
        <item x="410"/>
        <item x="411"/>
        <item x="412"/>
        <item x="413"/>
        <item x="41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0"/>
        <item x="1"/>
        <item x="2"/>
        <item x="3"/>
        <item x="4"/>
        <item x="5"/>
        <item x="6"/>
        <item x="7"/>
        <item x="8"/>
        <item x="9"/>
        <item x="10"/>
        <item x="11"/>
        <item x="12"/>
        <item x="13"/>
        <item x="14"/>
        <item x="15"/>
        <item x="16"/>
        <item x="17"/>
        <item x="18"/>
        <item x="19"/>
        <item x="20"/>
        <item x="21"/>
        <item x="22"/>
        <item x="23"/>
        <item x="24"/>
        <item x="25"/>
        <item x="26"/>
        <item x="27"/>
        <item x="28"/>
        <item x="2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3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showAll="0"/>
    <pivotField showAll="0"/>
    <pivotField numFmtId="14" showAll="0"/>
    <pivotField showAll="0"/>
    <pivotField showAll="0">
      <items count="11">
        <item h="1" x="0"/>
        <item h="1" x="4"/>
        <item h="1" x="9"/>
        <item h="1" x="6"/>
        <item h="1" x="7"/>
        <item h="1" x="5"/>
        <item h="1" x="8"/>
        <item h="1" x="2"/>
        <item h="1" x="1"/>
        <item x="3"/>
        <item t="default"/>
      </items>
    </pivotField>
    <pivotField showAll="0"/>
    <pivotField axis="axisRow" showAll="0" sortType="descending">
      <items count="17">
        <item x="4"/>
        <item x="8"/>
        <item x="5"/>
        <item x="0"/>
        <item x="14"/>
        <item x="12"/>
        <item x="1"/>
        <item x="6"/>
        <item x="9"/>
        <item x="3"/>
        <item x="10"/>
        <item x="11"/>
        <item x="15"/>
        <item x="2"/>
        <item x="7"/>
        <item x="13"/>
        <item t="default"/>
      </items>
      <autoSortScope>
        <pivotArea dataOnly="0" outline="0" fieldPosition="0">
          <references count="1">
            <reference field="4294967294" count="1" selected="0">
              <x v="0"/>
            </reference>
          </references>
        </pivotArea>
      </autoSortScope>
    </pivotField>
    <pivotField showAll="0"/>
    <pivotField showAll="0" sortType="descending">
      <items count="9">
        <item x="7"/>
        <item x="0"/>
        <item x="6"/>
        <item x="2"/>
        <item x="1"/>
        <item x="5"/>
        <item x="3"/>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10">
        <item x="1"/>
        <item x="6"/>
        <item x="4"/>
        <item x="3"/>
        <item x="5"/>
        <item x="2"/>
        <item x="0"/>
        <item x="8"/>
        <item x="7"/>
        <item t="default"/>
      </items>
    </pivotField>
    <pivotField showAll="0">
      <items count="13">
        <item h="1" x="7"/>
        <item h="1" x="8"/>
        <item h="1" x="4"/>
        <item h="1" x="11"/>
        <item x="3"/>
        <item h="1" x="5"/>
        <item h="1" x="6"/>
        <item h="1" x="10"/>
        <item h="1" x="0"/>
        <item h="1" x="1"/>
        <item h="1" x="2"/>
        <item h="1" x="9"/>
        <item t="default"/>
      </items>
    </pivotField>
    <pivotField showAll="0">
      <items count="3">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8"/>
  </rowFields>
  <rowItems count="6">
    <i>
      <x v="2"/>
    </i>
    <i>
      <x v="13"/>
    </i>
    <i>
      <x v="1"/>
    </i>
    <i>
      <x v="9"/>
    </i>
    <i>
      <x v="8"/>
    </i>
    <i>
      <x v="6"/>
    </i>
  </rowItems>
  <colItems count="1">
    <i/>
  </colItems>
  <dataFields count="1">
    <dataField name="Total Admission" fld="0" subtotal="count" baseField="11" baseItem="0"/>
  </dataFields>
  <formats count="11">
    <format dxfId="60">
      <pivotArea dataOnly="0" labelOnly="1" outline="0" axis="axisValues" fieldPosition="0"/>
    </format>
    <format dxfId="59">
      <pivotArea outline="0" collapsedLevelsAreSubtotals="1" fieldPosition="0"/>
    </format>
    <format dxfId="58">
      <pivotArea dataOnly="0" labelOnly="1" outline="0" axis="axisValues" fieldPosition="0"/>
    </format>
    <format dxfId="57">
      <pivotArea dataOnly="0" labelOnly="1" outline="0" axis="axisValues" fieldPosition="0"/>
    </format>
    <format dxfId="56">
      <pivotArea field="11" type="button" dataOnly="0" labelOnly="1" outline="0"/>
    </format>
    <format dxfId="55">
      <pivotArea field="14" type="button" dataOnly="0" labelOnly="1" outline="0"/>
    </format>
    <format dxfId="54">
      <pivotArea field="10" type="button" dataOnly="0" labelOnly="1" outline="0"/>
    </format>
    <format dxfId="53">
      <pivotArea dataOnly="0" labelOnly="1" fieldPosition="0">
        <references count="1">
          <reference field="8" count="0"/>
        </references>
      </pivotArea>
    </format>
    <format dxfId="52">
      <pivotArea field="8" type="button" dataOnly="0" labelOnly="1" outline="0" axis="axisRow" fieldPosition="0"/>
    </format>
    <format dxfId="51">
      <pivotArea field="8" type="button" dataOnly="0" labelOnly="1" outline="0" axis="axisRow" fieldPosition="0"/>
    </format>
    <format dxfId="5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CAC63F-5BC9-419D-BCFD-FA825D24D65C}" name="PivotTable6" cacheId="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Addmisson Mode">
  <location ref="D2:E4" firstHeaderRow="1" firstDataRow="1" firstDataCol="1"/>
  <pivotFields count="18">
    <pivotField dataField="1" showAll="0"/>
    <pivotField numFmtId="14" showAll="0">
      <items count="656">
        <item x="398"/>
        <item x="399"/>
        <item x="400"/>
        <item x="401"/>
        <item x="402"/>
        <item x="403"/>
        <item x="404"/>
        <item x="405"/>
        <item x="406"/>
        <item x="407"/>
        <item x="408"/>
        <item x="409"/>
        <item x="410"/>
        <item x="411"/>
        <item x="412"/>
        <item x="413"/>
        <item x="41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0"/>
        <item x="1"/>
        <item x="2"/>
        <item x="3"/>
        <item x="4"/>
        <item x="5"/>
        <item x="6"/>
        <item x="7"/>
        <item x="8"/>
        <item x="9"/>
        <item x="10"/>
        <item x="11"/>
        <item x="12"/>
        <item x="13"/>
        <item x="14"/>
        <item x="15"/>
        <item x="16"/>
        <item x="17"/>
        <item x="18"/>
        <item x="19"/>
        <item x="20"/>
        <item x="21"/>
        <item x="22"/>
        <item x="23"/>
        <item x="24"/>
        <item x="25"/>
        <item x="26"/>
        <item x="27"/>
        <item x="28"/>
        <item x="2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3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showAll="0"/>
    <pivotField showAll="0"/>
    <pivotField numFmtId="14" showAll="0"/>
    <pivotField showAll="0"/>
    <pivotField showAll="0">
      <items count="11">
        <item h="1" x="0"/>
        <item h="1" x="4"/>
        <item h="1" x="9"/>
        <item h="1" x="6"/>
        <item h="1" x="7"/>
        <item h="1" x="5"/>
        <item h="1" x="8"/>
        <item h="1" x="2"/>
        <item h="1" x="1"/>
        <item x="3"/>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items count="13">
        <item h="1" x="7"/>
        <item h="1" x="8"/>
        <item h="1" x="4"/>
        <item h="1" x="11"/>
        <item x="3"/>
        <item h="1" x="5"/>
        <item h="1" x="6"/>
        <item h="1" x="10"/>
        <item h="1" x="0"/>
        <item h="1" x="1"/>
        <item h="1" x="2"/>
        <item h="1" x="9"/>
        <item t="default"/>
      </items>
    </pivotField>
    <pivotField showAll="0">
      <items count="3">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1"/>
  </rowFields>
  <rowItems count="2">
    <i>
      <x/>
    </i>
    <i>
      <x v="1"/>
    </i>
  </rowItems>
  <colItems count="1">
    <i/>
  </colItems>
  <dataFields count="1">
    <dataField name="Total Admission" fld="0" subtotal="count" baseField="11" baseItem="0" numFmtId="10">
      <extLst>
        <ext xmlns:x14="http://schemas.microsoft.com/office/spreadsheetml/2009/9/main" uri="{E15A36E0-9728-4e99-A89B-3F7291B0FE68}">
          <x14:dataField pivotShowAs="percentOfParentRow"/>
        </ext>
      </extLst>
    </dataField>
  </dataFields>
  <formats count="9">
    <format dxfId="69">
      <pivotArea dataOnly="0" labelOnly="1" outline="0" axis="axisValues" fieldPosition="0"/>
    </format>
    <format dxfId="68">
      <pivotArea outline="0" collapsedLevelsAreSubtotals="1" fieldPosition="0"/>
    </format>
    <format dxfId="67">
      <pivotArea dataOnly="0" labelOnly="1" outline="0" axis="axisValues" fieldPosition="0"/>
    </format>
    <format dxfId="66">
      <pivotArea dataOnly="0" labelOnly="1" outline="0" axis="axisValues" fieldPosition="0"/>
    </format>
    <format dxfId="65">
      <pivotArea field="11" type="button" dataOnly="0" labelOnly="1" outline="0" axis="axisRow" fieldPosition="0"/>
    </format>
    <format dxfId="64">
      <pivotArea outline="0" fieldPosition="0">
        <references count="1">
          <reference field="4294967294" count="1">
            <x v="0"/>
          </reference>
        </references>
      </pivotArea>
    </format>
    <format dxfId="63">
      <pivotArea dataOnly="0" labelOnly="1" fieldPosition="0">
        <references count="1">
          <reference field="11" count="0"/>
        </references>
      </pivotArea>
    </format>
    <format dxfId="62">
      <pivotArea field="11" type="button" dataOnly="0" labelOnly="1" outline="0" axis="axisRow" fieldPosition="0"/>
    </format>
    <format dxfId="61">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AB5D1C-10B1-453D-AD2F-9F584F68F777}" name="PivotTable8" cacheId="3"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Addmission Source">
  <location ref="H2:I10" firstHeaderRow="1" firstDataRow="1" firstDataCol="1"/>
  <pivotFields count="18">
    <pivotField dataField="1" showAll="0"/>
    <pivotField numFmtId="14" showAll="0">
      <items count="656">
        <item x="398"/>
        <item x="399"/>
        <item x="400"/>
        <item x="401"/>
        <item x="402"/>
        <item x="403"/>
        <item x="404"/>
        <item x="405"/>
        <item x="406"/>
        <item x="407"/>
        <item x="408"/>
        <item x="409"/>
        <item x="410"/>
        <item x="411"/>
        <item x="412"/>
        <item x="413"/>
        <item x="414"/>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0"/>
        <item x="1"/>
        <item x="2"/>
        <item x="3"/>
        <item x="4"/>
        <item x="5"/>
        <item x="6"/>
        <item x="7"/>
        <item x="8"/>
        <item x="9"/>
        <item x="10"/>
        <item x="11"/>
        <item x="12"/>
        <item x="13"/>
        <item x="14"/>
        <item x="15"/>
        <item x="16"/>
        <item x="17"/>
        <item x="18"/>
        <item x="19"/>
        <item x="20"/>
        <item x="21"/>
        <item x="22"/>
        <item x="23"/>
        <item x="24"/>
        <item x="25"/>
        <item x="26"/>
        <item x="27"/>
        <item x="28"/>
        <item x="2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30"/>
        <item x="31"/>
        <item x="32"/>
        <item x="33"/>
        <item x="34"/>
        <item x="35"/>
        <item x="36"/>
        <item x="37"/>
        <item x="38"/>
        <item x="39"/>
        <item x="40"/>
        <item x="41"/>
        <item x="42"/>
        <item x="43"/>
        <item x="44"/>
        <item x="45"/>
        <item x="46"/>
        <item x="47"/>
        <item x="48"/>
        <item x="49"/>
        <item x="50"/>
        <item x="51"/>
        <item x="52"/>
        <item x="53"/>
        <item x="54"/>
        <item x="55"/>
        <item x="56"/>
        <item x="57"/>
        <item x="58"/>
        <item x="59"/>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showAll="0"/>
    <pivotField showAll="0"/>
    <pivotField numFmtId="14" showAll="0"/>
    <pivotField showAll="0"/>
    <pivotField showAll="0">
      <items count="11">
        <item h="1" x="0"/>
        <item h="1" x="4"/>
        <item h="1" x="9"/>
        <item h="1" x="6"/>
        <item h="1" x="7"/>
        <item h="1" x="5"/>
        <item h="1" x="8"/>
        <item h="1" x="2"/>
        <item h="1" x="1"/>
        <item x="3"/>
        <item t="default"/>
      </items>
    </pivotField>
    <pivotField showAll="0"/>
    <pivotField showAll="0"/>
    <pivotField showAll="0"/>
    <pivotField axis="axisRow" showAll="0" sortType="descending">
      <items count="9">
        <item x="7"/>
        <item x="0"/>
        <item x="6"/>
        <item x="2"/>
        <item x="1"/>
        <item x="5"/>
        <item x="3"/>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items count="10">
        <item x="1"/>
        <item x="6"/>
        <item x="4"/>
        <item x="3"/>
        <item x="5"/>
        <item x="2"/>
        <item x="0"/>
        <item x="8"/>
        <item x="7"/>
        <item t="default"/>
      </items>
    </pivotField>
    <pivotField showAll="0">
      <items count="13">
        <item h="1" x="7"/>
        <item h="1" x="8"/>
        <item h="1" x="4"/>
        <item h="1" x="11"/>
        <item x="3"/>
        <item h="1" x="5"/>
        <item h="1" x="6"/>
        <item h="1" x="10"/>
        <item h="1" x="0"/>
        <item h="1" x="1"/>
        <item h="1" x="2"/>
        <item h="1" x="9"/>
        <item t="default"/>
      </items>
    </pivotField>
    <pivotField showAll="0">
      <items count="3">
        <item h="1"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8">
    <i>
      <x v="5"/>
    </i>
    <i>
      <x v="6"/>
    </i>
    <i>
      <x v="1"/>
    </i>
    <i>
      <x v="4"/>
    </i>
    <i>
      <x v="7"/>
    </i>
    <i>
      <x v="2"/>
    </i>
    <i>
      <x/>
    </i>
    <i>
      <x v="3"/>
    </i>
  </rowItems>
  <colItems count="1">
    <i/>
  </colItems>
  <dataFields count="1">
    <dataField name="Total Admission" fld="0" subtotal="count" baseField="11" baseItem="0"/>
  </dataFields>
  <formats count="10">
    <format dxfId="79">
      <pivotArea dataOnly="0" labelOnly="1" outline="0" axis="axisValues" fieldPosition="0"/>
    </format>
    <format dxfId="78">
      <pivotArea outline="0" collapsedLevelsAreSubtotals="1" fieldPosition="0"/>
    </format>
    <format dxfId="77">
      <pivotArea dataOnly="0" labelOnly="1" outline="0" axis="axisValues" fieldPosition="0"/>
    </format>
    <format dxfId="76">
      <pivotArea dataOnly="0" labelOnly="1" outline="0" axis="axisValues" fieldPosition="0"/>
    </format>
    <format dxfId="75">
      <pivotArea field="11" type="button" dataOnly="0" labelOnly="1" outline="0"/>
    </format>
    <format dxfId="74">
      <pivotArea field="14" type="button" dataOnly="0" labelOnly="1" outline="0"/>
    </format>
    <format dxfId="73">
      <pivotArea dataOnly="0" labelOnly="1" fieldPosition="0">
        <references count="1">
          <reference field="10" count="0"/>
        </references>
      </pivotArea>
    </format>
    <format dxfId="72">
      <pivotArea field="10" type="button" dataOnly="0" labelOnly="1" outline="0" axis="axisRow" fieldPosition="0"/>
    </format>
    <format dxfId="71">
      <pivotArea field="10" type="button" dataOnly="0" labelOnly="1" outline="0" axis="axisRow" fieldPosition="0"/>
    </format>
    <format dxfId="7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69336F8-2D4F-40A9-BE1F-685ED43E8708}" sourceName="Year">
  <pivotTables>
    <pivotTable tabId="2" name="PivotTable9"/>
    <pivotTable tabId="2" name="PivotTable10"/>
    <pivotTable tabId="2" name="PivotTable3"/>
    <pivotTable tabId="2" name="PivotTable4"/>
    <pivotTable tabId="2" name="PivotTable6"/>
    <pivotTable tabId="2" name="PivotTable7"/>
    <pivotTable tabId="2" name="PivotTable8"/>
  </pivotTables>
  <data>
    <tabular pivotCacheId="25129013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82B196C-FBC4-4F96-B7F7-A1CB27AC7F70}" sourceName="Month">
  <pivotTables>
    <pivotTable tabId="2" name="PivotTable9"/>
    <pivotTable tabId="2" name="PivotTable10"/>
    <pivotTable tabId="2" name="PivotTable3"/>
    <pivotTable tabId="2" name="PivotTable4"/>
    <pivotTable tabId="2" name="PivotTable6"/>
    <pivotTable tabId="2" name="PivotTable7"/>
    <pivotTable tabId="2" name="PivotTable8"/>
  </pivotTables>
  <data>
    <tabular pivotCacheId="251290138">
      <items count="12">
        <i x="7"/>
        <i x="8"/>
        <i x="4"/>
        <i x="11"/>
        <i x="3" s="1"/>
        <i x="5"/>
        <i x="6"/>
        <i x="10"/>
        <i x="0"/>
        <i x="1"/>
        <i x="2" nd="1"/>
        <i x="9"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City" xr10:uid="{D5B36296-8A38-41C9-8CC7-A2C792D7BA80}" sourceName="Branch_City">
  <pivotTables>
    <pivotTable tabId="2" name="PivotTable9"/>
    <pivotTable tabId="2" name="PivotTable10"/>
    <pivotTable tabId="2" name="PivotTable3"/>
    <pivotTable tabId="2" name="PivotTable4"/>
    <pivotTable tabId="2" name="PivotTable6"/>
    <pivotTable tabId="2" name="PivotTable7"/>
    <pivotTable tabId="2" name="PivotTable8"/>
  </pivotTables>
  <data>
    <tabular pivotCacheId="251290138">
      <items count="10">
        <i x="0"/>
        <i x="4"/>
        <i x="6"/>
        <i x="7"/>
        <i x="5"/>
        <i x="8"/>
        <i x="2"/>
        <i x="1"/>
        <i x="3" s="1"/>
        <i x="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26B02F8-25BE-4535-A395-715018C32489}" cache="Slicer_Year" caption="Year" columnCount="2" showCaption="0" style="Slicer Style 1" rowHeight="360000"/>
  <slicer name="Month" xr10:uid="{63A5FC59-B0DE-4E2B-B85C-2E5896D359E9}" cache="Slicer_Month" caption="Month" showCaption="0" style="Slicer Style 1" rowHeight="360000"/>
  <slicer name="Branch_City" xr10:uid="{15B99BEA-AC48-4404-B1A5-EFE2C47BD113}" cache="Slicer_Branch_City" caption="Branch_City" columnCount="2" showCaption="0"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C088D3-4D8D-4E46-8931-7046477CFB1E}" name="Addmisson" displayName="Addmisson" ref="A1:Q656" totalsRowShown="0" headerRowDxfId="20" headerRowBorderDxfId="19" tableBorderDxfId="18" totalsRowBorderDxfId="17">
  <autoFilter ref="A1:Q656" xr:uid="{F7C088D3-4D8D-4E46-8931-7046477CFB1E}"/>
  <sortState xmlns:xlrd2="http://schemas.microsoft.com/office/spreadsheetml/2017/richdata2" ref="A2:Q656">
    <sortCondition ref="A1:A656"/>
  </sortState>
  <tableColumns count="17">
    <tableColumn id="1" xr3:uid="{C746485E-1B0A-41D5-8879-E25F6CA495C8}" name="Admission_ID" dataDxfId="16"/>
    <tableColumn id="2" xr3:uid="{4EE358A0-813C-44A4-A80C-4F71FFD2B895}" name="Admission_Date" dataDxfId="15"/>
    <tableColumn id="3" xr3:uid="{C4784A49-E862-4596-8D06-3C16426E08EA}" name="Student_ID" dataDxfId="14"/>
    <tableColumn id="4" xr3:uid="{1953CB0B-6D44-4AE3-894B-681563EEEC1C}" name="Student_Name" dataDxfId="13"/>
    <tableColumn id="5" xr3:uid="{2A0F9377-EC19-44AA-9481-D4F5648DE0EB}" name="Student_DOB" dataDxfId="12"/>
    <tableColumn id="6" xr3:uid="{5D718E8E-441A-43F3-9CEB-52F6B684DAA3}" name="Student_City" dataDxfId="11"/>
    <tableColumn id="7" xr3:uid="{D9D233FD-5F4D-4198-9462-667A0BC07C12}" name="Branch_City" dataDxfId="10"/>
    <tableColumn id="8" xr3:uid="{09A7B008-5B24-4DFE-AA0E-55D683676CFF}" name="Branch_Area" dataDxfId="9"/>
    <tableColumn id="9" xr3:uid="{7C2B14BF-3F7D-4D84-B757-B237BEB80B4E}" name="Course_Name" dataDxfId="8"/>
    <tableColumn id="10" xr3:uid="{5283ED77-4B26-4DED-88B0-1B3D6ADF603B}" name="Course_Category" dataDxfId="7"/>
    <tableColumn id="11" xr3:uid="{B6187FB5-8F39-41CC-B224-8E0ACBD3C341}" name="Admission_Source" dataDxfId="6"/>
    <tableColumn id="12" xr3:uid="{FDBAA1FD-1270-4384-A9D2-6F01BAA115AD}" name="Admission_Mode" dataDxfId="5"/>
    <tableColumn id="13" xr3:uid="{52179011-41DB-4D9A-9B2B-C0A0995D4E30}" name="Batch_Timing" dataDxfId="4"/>
    <tableColumn id="14" xr3:uid="{D9F128D5-61D9-4A13-B799-C07AA70354F3}" name="Admission_Status" dataDxfId="3"/>
    <tableColumn id="15" xr3:uid="{61AAD4A2-F2CF-4463-90A8-ABE701E5C317}" name="Age " dataDxfId="2">
      <calculatedColumnFormula>DATEDIF(Addmisson[[#This Row],[Student_DOB]],TODAY(),"y")</calculatedColumnFormula>
    </tableColumn>
    <tableColumn id="16" xr3:uid="{79CE064D-4E42-4572-B2E4-06B5079329F4}" name="Month" dataDxfId="1">
      <calculatedColumnFormula>TEXT(Addmisson[[#This Row],[Admission_Date]],"mmmm")</calculatedColumnFormula>
    </tableColumn>
    <tableColumn id="17" xr3:uid="{513AF71E-F506-45D3-8939-7D9AB2D67275}" name="Year" dataDxfId="0">
      <calculatedColumnFormula>YEAR(Addmisson[[#This Row],[Admission_Date]])</calculatedColumnFormula>
    </tableColumn>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1002C-660E-4139-9597-719348C7E7A2}">
  <dimension ref="D13:S17"/>
  <sheetViews>
    <sheetView showGridLines="0" showRowColHeaders="0" tabSelected="1" topLeftCell="A4" zoomScale="90" zoomScaleNormal="90" workbookViewId="0">
      <selection activeCell="V24" sqref="V24"/>
    </sheetView>
  </sheetViews>
  <sheetFormatPr defaultRowHeight="15" x14ac:dyDescent="0.25"/>
  <cols>
    <col min="1" max="1" width="9.140625" style="23"/>
    <col min="2" max="2" width="9.140625" style="23" customWidth="1"/>
    <col min="3" max="3" width="9.140625" style="23"/>
    <col min="4" max="5" width="9.140625" style="23" customWidth="1"/>
    <col min="6" max="8" width="9.140625" style="23"/>
    <col min="9" max="9" width="9.140625" style="23" customWidth="1"/>
    <col min="10" max="16384" width="9.140625" style="23"/>
  </cols>
  <sheetData>
    <row r="13" spans="4:19" x14ac:dyDescent="0.25">
      <c r="L13" s="25"/>
    </row>
    <row r="14" spans="4:19" x14ac:dyDescent="0.25">
      <c r="L14" s="25"/>
    </row>
    <row r="16" spans="4:19" x14ac:dyDescent="0.25">
      <c r="D16" s="24"/>
      <c r="E16" s="24"/>
      <c r="F16" s="24"/>
      <c r="O16" s="25"/>
      <c r="Q16" s="25"/>
      <c r="R16" s="25"/>
      <c r="S16" s="25"/>
    </row>
    <row r="17" spans="15:19" x14ac:dyDescent="0.25">
      <c r="O17" s="25"/>
      <c r="P17" s="25"/>
      <c r="Q17" s="25"/>
      <c r="R17" s="25"/>
      <c r="S17"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9C5DF-C0CD-4A9F-B797-4D8A1895086E}">
  <dimension ref="A2:L19"/>
  <sheetViews>
    <sheetView workbookViewId="0">
      <selection activeCell="C19" sqref="C19"/>
    </sheetView>
  </sheetViews>
  <sheetFormatPr defaultRowHeight="15" x14ac:dyDescent="0.25"/>
  <cols>
    <col min="1" max="1" width="15.5703125" customWidth="1"/>
    <col min="2" max="2" width="15.42578125" bestFit="1" customWidth="1"/>
    <col min="4" max="4" width="26.140625" customWidth="1"/>
    <col min="5" max="5" width="15.42578125" bestFit="1" customWidth="1"/>
    <col min="8" max="8" width="20.85546875" bestFit="1" customWidth="1"/>
    <col min="9" max="9" width="15.42578125" bestFit="1" customWidth="1"/>
    <col min="11" max="11" width="14.5703125" bestFit="1" customWidth="1"/>
    <col min="12" max="12" width="15.42578125" bestFit="1" customWidth="1"/>
    <col min="13" max="13" width="19.5703125" bestFit="1" customWidth="1"/>
  </cols>
  <sheetData>
    <row r="2" spans="1:12" x14ac:dyDescent="0.25">
      <c r="A2" s="31" t="s">
        <v>1582</v>
      </c>
      <c r="D2" s="32" t="s">
        <v>1585</v>
      </c>
      <c r="E2" s="31" t="s">
        <v>1582</v>
      </c>
      <c r="H2" s="32" t="s">
        <v>1588</v>
      </c>
      <c r="I2" s="31" t="s">
        <v>1582</v>
      </c>
      <c r="K2" s="32" t="s">
        <v>1589</v>
      </c>
      <c r="L2" s="31" t="s">
        <v>1582</v>
      </c>
    </row>
    <row r="3" spans="1:12" x14ac:dyDescent="0.25">
      <c r="A3" s="20">
        <v>10</v>
      </c>
      <c r="D3" s="21" t="s">
        <v>1568</v>
      </c>
      <c r="E3" s="30">
        <v>0.4</v>
      </c>
      <c r="H3" s="21" t="s">
        <v>1560</v>
      </c>
      <c r="I3" s="20">
        <v>2</v>
      </c>
      <c r="K3" s="21" t="s">
        <v>133</v>
      </c>
      <c r="L3" s="20">
        <v>2</v>
      </c>
    </row>
    <row r="4" spans="1:12" x14ac:dyDescent="0.25">
      <c r="D4" s="21" t="s">
        <v>1567</v>
      </c>
      <c r="E4" s="30">
        <v>0.6</v>
      </c>
      <c r="H4" s="21" t="s">
        <v>1558</v>
      </c>
      <c r="I4" s="20">
        <v>2</v>
      </c>
      <c r="K4" s="21" t="s">
        <v>128</v>
      </c>
      <c r="L4" s="20">
        <v>2</v>
      </c>
    </row>
    <row r="5" spans="1:12" x14ac:dyDescent="0.25">
      <c r="H5" s="21" t="s">
        <v>1563</v>
      </c>
      <c r="I5" s="20">
        <v>1</v>
      </c>
      <c r="K5" s="21" t="s">
        <v>146</v>
      </c>
      <c r="L5" s="20">
        <v>2</v>
      </c>
    </row>
    <row r="6" spans="1:12" x14ac:dyDescent="0.25">
      <c r="A6" s="32" t="s">
        <v>1583</v>
      </c>
      <c r="H6" s="21" t="s">
        <v>1564</v>
      </c>
      <c r="I6" s="20">
        <v>1</v>
      </c>
      <c r="K6" s="21" t="s">
        <v>144</v>
      </c>
      <c r="L6" s="20">
        <v>2</v>
      </c>
    </row>
    <row r="7" spans="1:12" x14ac:dyDescent="0.25">
      <c r="A7" s="20">
        <v>10</v>
      </c>
      <c r="D7" s="32" t="s">
        <v>1587</v>
      </c>
      <c r="E7" s="31" t="s">
        <v>1582</v>
      </c>
      <c r="H7" s="21" t="s">
        <v>1559</v>
      </c>
      <c r="I7" s="20">
        <v>1</v>
      </c>
      <c r="K7" s="21" t="s">
        <v>141</v>
      </c>
      <c r="L7" s="20">
        <v>2</v>
      </c>
    </row>
    <row r="8" spans="1:12" x14ac:dyDescent="0.25">
      <c r="D8" s="21">
        <v>17</v>
      </c>
      <c r="E8" s="20">
        <v>1</v>
      </c>
      <c r="H8" s="21" t="s">
        <v>1561</v>
      </c>
      <c r="I8" s="20">
        <v>1</v>
      </c>
    </row>
    <row r="9" spans="1:12" x14ac:dyDescent="0.25">
      <c r="A9" s="26" t="s">
        <v>1584</v>
      </c>
      <c r="D9" s="21">
        <v>18</v>
      </c>
      <c r="E9" s="20">
        <v>1</v>
      </c>
      <c r="H9" s="21" t="s">
        <v>1562</v>
      </c>
      <c r="I9" s="20">
        <v>1</v>
      </c>
    </row>
    <row r="10" spans="1:12" x14ac:dyDescent="0.25">
      <c r="A10" s="20">
        <f>COUNTA(_xlfn.UNIQUE(Addmisson[Branch_City]))</f>
        <v>10</v>
      </c>
      <c r="D10" s="21">
        <v>20</v>
      </c>
      <c r="E10" s="20">
        <v>1</v>
      </c>
      <c r="H10" s="21" t="s">
        <v>1565</v>
      </c>
      <c r="I10" s="20">
        <v>1</v>
      </c>
    </row>
    <row r="11" spans="1:12" x14ac:dyDescent="0.25">
      <c r="D11" s="21">
        <v>21</v>
      </c>
      <c r="E11" s="20">
        <v>3</v>
      </c>
    </row>
    <row r="12" spans="1:12" x14ac:dyDescent="0.25">
      <c r="D12" s="21">
        <v>22</v>
      </c>
      <c r="E12" s="20">
        <v>4</v>
      </c>
    </row>
    <row r="13" spans="1:12" x14ac:dyDescent="0.25">
      <c r="A13" s="32" t="s">
        <v>3</v>
      </c>
      <c r="B13" s="31" t="s">
        <v>1582</v>
      </c>
    </row>
    <row r="14" spans="1:12" x14ac:dyDescent="0.25">
      <c r="A14" s="21" t="s">
        <v>1053</v>
      </c>
      <c r="B14" s="20">
        <v>3</v>
      </c>
    </row>
    <row r="15" spans="1:12" x14ac:dyDescent="0.25">
      <c r="A15" s="21" t="s">
        <v>1047</v>
      </c>
      <c r="B15" s="20">
        <v>2</v>
      </c>
    </row>
    <row r="16" spans="1:12" x14ac:dyDescent="0.25">
      <c r="A16" s="21" t="s">
        <v>16</v>
      </c>
      <c r="B16" s="20">
        <v>2</v>
      </c>
    </row>
    <row r="17" spans="1:2" x14ac:dyDescent="0.25">
      <c r="A17" s="21" t="s">
        <v>1049</v>
      </c>
      <c r="B17" s="20">
        <v>1</v>
      </c>
    </row>
    <row r="18" spans="1:2" x14ac:dyDescent="0.25">
      <c r="A18" s="21" t="s">
        <v>1057</v>
      </c>
      <c r="B18" s="20">
        <v>1</v>
      </c>
    </row>
    <row r="19" spans="1:2" x14ac:dyDescent="0.25">
      <c r="A19" s="21" t="s">
        <v>1060</v>
      </c>
      <c r="B19" s="2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2F71-07F4-4463-8748-FB0C172B5449}">
  <dimension ref="A2:G27"/>
  <sheetViews>
    <sheetView workbookViewId="0">
      <selection activeCell="E19" sqref="E19"/>
    </sheetView>
  </sheetViews>
  <sheetFormatPr defaultRowHeight="15" x14ac:dyDescent="0.25"/>
  <cols>
    <col min="1" max="1" width="11.7109375" customWidth="1"/>
    <col min="2" max="2" width="16" customWidth="1"/>
    <col min="5" max="5" width="21.140625" customWidth="1"/>
    <col min="6" max="6" width="14.140625" customWidth="1"/>
    <col min="7" max="7" width="14" customWidth="1"/>
  </cols>
  <sheetData>
    <row r="2" spans="1:7" x14ac:dyDescent="0.25">
      <c r="A2" s="26" t="s">
        <v>1902</v>
      </c>
      <c r="B2" s="26" t="s">
        <v>1903</v>
      </c>
    </row>
    <row r="3" spans="1:7" x14ac:dyDescent="0.25">
      <c r="A3" s="2" t="str" cm="1">
        <f t="array" ref="A3:A12">_xlfn.UNIQUE(Addmisson[Branch_City])</f>
        <v>Rajkot</v>
      </c>
      <c r="B3" s="2">
        <f>COUNTIF(Addmisson[Branch_City],Analysis!$A3)</f>
        <v>103</v>
      </c>
      <c r="E3" s="39" t="s">
        <v>1908</v>
      </c>
      <c r="F3" s="40" t="s">
        <v>1909</v>
      </c>
      <c r="G3" s="40"/>
    </row>
    <row r="4" spans="1:7" x14ac:dyDescent="0.25">
      <c r="A4" s="2" t="str">
        <v>Surat</v>
      </c>
      <c r="B4" s="2">
        <f>COUNTIF(Addmisson[Branch_City],Analysis!$A4)</f>
        <v>188</v>
      </c>
      <c r="E4" s="39"/>
      <c r="F4" s="28" t="s">
        <v>1905</v>
      </c>
      <c r="G4" s="28" t="s">
        <v>1906</v>
      </c>
    </row>
    <row r="5" spans="1:7" x14ac:dyDescent="0.25">
      <c r="A5" s="2" t="str">
        <v>Ahmedabad</v>
      </c>
      <c r="B5" s="2">
        <f>COUNTIF(Addmisson[Branch_City],Analysis!$A5)</f>
        <v>115</v>
      </c>
      <c r="E5" s="28" t="s">
        <v>1902</v>
      </c>
      <c r="F5" s="29" t="str" cm="1">
        <f t="array" ref="F5">_xlfn.XLOOKUP(MAX($B$3:$B$12),$B$3:$B$12,_xlfn.ANCHORARRAY(A3))</f>
        <v>Surat</v>
      </c>
      <c r="G5" s="29" t="str" cm="1">
        <f t="array" ref="G5">_xlfn.XLOOKUP(MIN($B$3:$B$12),$B$3:$B$12,_xlfn.ANCHORARRAY(A3))</f>
        <v>Anand</v>
      </c>
    </row>
    <row r="6" spans="1:7" x14ac:dyDescent="0.25">
      <c r="A6" s="2" t="str">
        <v>Amreli</v>
      </c>
      <c r="B6" s="2">
        <f>COUNTIF(Addmisson[Branch_City],Analysis!$A6)</f>
        <v>52</v>
      </c>
      <c r="E6" s="36" t="s">
        <v>1590</v>
      </c>
      <c r="F6" s="29" t="str" cm="1">
        <f t="array" ref="F6:F10">_xlfn._xlws.FILTER(_xlfn.ANCHORARRAY(A16),B16:B27=MAX(B16:B27))</f>
        <v>August</v>
      </c>
      <c r="G6" s="33" t="str" cm="1">
        <f t="array" ref="G6">_xlfn._xlws.FILTER(_xlfn.ANCHORARRAY(A16),B16:B27=MIN(B16:B27))</f>
        <v>November</v>
      </c>
    </row>
    <row r="7" spans="1:7" x14ac:dyDescent="0.25">
      <c r="A7" s="2" t="str">
        <v>Anand</v>
      </c>
      <c r="B7" s="2">
        <f>COUNTIF(Addmisson[Branch_City],Analysis!$A7)</f>
        <v>3</v>
      </c>
      <c r="E7" s="37"/>
      <c r="F7" s="29" t="str">
        <v>July</v>
      </c>
      <c r="G7" s="34"/>
    </row>
    <row r="8" spans="1:7" x14ac:dyDescent="0.25">
      <c r="A8" s="2" t="str">
        <v>Bhavnagar</v>
      </c>
      <c r="B8" s="2">
        <f>COUNTIF(Addmisson[Branch_City],Analysis!$A8)</f>
        <v>64</v>
      </c>
      <c r="E8" s="37"/>
      <c r="F8" s="29" t="str">
        <v>March</v>
      </c>
      <c r="G8" s="34"/>
    </row>
    <row r="9" spans="1:7" x14ac:dyDescent="0.25">
      <c r="A9" s="2" t="str">
        <v>Gandhinagar</v>
      </c>
      <c r="B9" s="2">
        <f>COUNTIF(Addmisson[Branch_City],Analysis!$A9)</f>
        <v>30</v>
      </c>
      <c r="E9" s="37"/>
      <c r="F9" s="29" t="str">
        <v>May</v>
      </c>
      <c r="G9" s="34"/>
    </row>
    <row r="10" spans="1:7" x14ac:dyDescent="0.25">
      <c r="A10" s="2" t="str">
        <v>Navsari</v>
      </c>
      <c r="B10" s="2">
        <f>COUNTIF(Addmisson[Branch_City],Analysis!$A10)</f>
        <v>30</v>
      </c>
      <c r="E10" s="38"/>
      <c r="F10" s="29" t="str">
        <v>October</v>
      </c>
      <c r="G10" s="35"/>
    </row>
    <row r="11" spans="1:7" x14ac:dyDescent="0.25">
      <c r="A11" s="2" t="str">
        <v>Bharuch</v>
      </c>
      <c r="B11" s="2">
        <f>COUNTIF(Addmisson[Branch_City],Analysis!$A11)</f>
        <v>49</v>
      </c>
      <c r="E11" s="26" t="s">
        <v>1907</v>
      </c>
      <c r="F11" s="29" t="str">
        <f>_xlfn.XLOOKUP(MAX('Pivot Table'!I3:I10),'Pivot Table'!$I$3:$I$10,'Pivot Table'!$H$3:$H$10)</f>
        <v>LinkedIn</v>
      </c>
      <c r="G11" s="29" t="str">
        <f>_xlfn.XLOOKUP(MIN('Pivot Table'!I3:I10),'Pivot Table'!$I$3:$I$10,'Pivot Table'!$H$3:$H$10)</f>
        <v>Branch Visit</v>
      </c>
    </row>
    <row r="12" spans="1:7" x14ac:dyDescent="0.25">
      <c r="A12" s="2" t="str">
        <v>Junagadh</v>
      </c>
      <c r="B12" s="2">
        <f>COUNTIF(Addmisson[Branch_City],Analysis!$A12)</f>
        <v>21</v>
      </c>
      <c r="E12" s="27"/>
    </row>
    <row r="15" spans="1:7" x14ac:dyDescent="0.25">
      <c r="A15" s="26" t="s">
        <v>1590</v>
      </c>
      <c r="B15" s="26" t="s">
        <v>1904</v>
      </c>
    </row>
    <row r="16" spans="1:7" x14ac:dyDescent="0.25">
      <c r="A16" s="2" t="str" cm="1">
        <f t="array" ref="A16:A27">_xlfn.UNIQUE(_xlfn._xlws.SORT(Addmisson[Month]))</f>
        <v>April</v>
      </c>
      <c r="B16" s="2">
        <f>COUNTIF(Addmisson[Month],Analysis!A16)</f>
        <v>60</v>
      </c>
    </row>
    <row r="17" spans="1:2" x14ac:dyDescent="0.25">
      <c r="A17" s="2" t="str">
        <v>August</v>
      </c>
      <c r="B17" s="2">
        <f>COUNTIF(Addmisson[Month],Analysis!A17)</f>
        <v>62</v>
      </c>
    </row>
    <row r="18" spans="1:2" x14ac:dyDescent="0.25">
      <c r="A18" s="2" t="str">
        <v>December</v>
      </c>
      <c r="B18" s="2">
        <f>COUNTIF(Addmisson[Month],Analysis!A18)</f>
        <v>31</v>
      </c>
    </row>
    <row r="19" spans="1:2" x14ac:dyDescent="0.25">
      <c r="A19" s="2" t="str">
        <v>February</v>
      </c>
      <c r="B19" s="2">
        <f>COUNTIF(Addmisson[Month],Analysis!A19)</f>
        <v>56</v>
      </c>
    </row>
    <row r="20" spans="1:2" x14ac:dyDescent="0.25">
      <c r="A20" s="2" t="str">
        <v>January</v>
      </c>
      <c r="B20" s="2">
        <f>COUNTIF(Addmisson[Month],Analysis!A20)</f>
        <v>48</v>
      </c>
    </row>
    <row r="21" spans="1:2" x14ac:dyDescent="0.25">
      <c r="A21" s="2" t="str">
        <v>July</v>
      </c>
      <c r="B21" s="2">
        <f>COUNTIF(Addmisson[Month],Analysis!A21)</f>
        <v>62</v>
      </c>
    </row>
    <row r="22" spans="1:2" x14ac:dyDescent="0.25">
      <c r="A22" s="2" t="str">
        <v>June</v>
      </c>
      <c r="B22" s="2">
        <f>COUNTIF(Addmisson[Month],Analysis!A22)</f>
        <v>60</v>
      </c>
    </row>
    <row r="23" spans="1:2" x14ac:dyDescent="0.25">
      <c r="A23" s="2" t="str">
        <v>March</v>
      </c>
      <c r="B23" s="2">
        <f>COUNTIF(Addmisson[Month],Analysis!A23)</f>
        <v>62</v>
      </c>
    </row>
    <row r="24" spans="1:2" x14ac:dyDescent="0.25">
      <c r="A24" s="2" t="str">
        <v>May</v>
      </c>
      <c r="B24" s="2">
        <f>COUNTIF(Addmisson[Month],Analysis!A24)</f>
        <v>62</v>
      </c>
    </row>
    <row r="25" spans="1:2" x14ac:dyDescent="0.25">
      <c r="A25" s="2" t="str">
        <v>November</v>
      </c>
      <c r="B25" s="2">
        <f>COUNTIF(Addmisson[Month],Analysis!A25)</f>
        <v>30</v>
      </c>
    </row>
    <row r="26" spans="1:2" x14ac:dyDescent="0.25">
      <c r="A26" s="2" t="str">
        <v>October</v>
      </c>
      <c r="B26" s="2">
        <f>COUNTIF(Addmisson[Month],Analysis!A26)</f>
        <v>62</v>
      </c>
    </row>
    <row r="27" spans="1:2" x14ac:dyDescent="0.25">
      <c r="A27" s="2" t="str">
        <v>September</v>
      </c>
      <c r="B27" s="2">
        <f>COUNTIF(Addmisson[Month],Analysis!A27)</f>
        <v>60</v>
      </c>
    </row>
  </sheetData>
  <mergeCells count="4">
    <mergeCell ref="G6:G10"/>
    <mergeCell ref="E6:E10"/>
    <mergeCell ref="E3:E4"/>
    <mergeCell ref="F3:G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45967-8AB4-48A3-B802-E30E17932B42}">
  <dimension ref="A1:Q656"/>
  <sheetViews>
    <sheetView topLeftCell="G1" workbookViewId="0">
      <selection activeCell="P395" sqref="P395"/>
    </sheetView>
  </sheetViews>
  <sheetFormatPr defaultRowHeight="15" x14ac:dyDescent="0.25"/>
  <cols>
    <col min="1" max="1" width="15.42578125" customWidth="1"/>
    <col min="2" max="2" width="17.7109375" style="1" customWidth="1"/>
    <col min="3" max="3" width="13.140625" customWidth="1"/>
    <col min="4" max="4" width="21.85546875" bestFit="1" customWidth="1"/>
    <col min="5" max="5" width="15.140625" style="1" customWidth="1"/>
    <col min="6" max="6" width="14.85546875" customWidth="1"/>
    <col min="7" max="7" width="13.85546875" customWidth="1"/>
    <col min="8" max="8" width="16.28515625" bestFit="1" customWidth="1"/>
    <col min="9" max="9" width="28.5703125" bestFit="1" customWidth="1"/>
    <col min="10" max="10" width="20.85546875" bestFit="1" customWidth="1"/>
    <col min="11" max="11" width="19.7109375" customWidth="1"/>
    <col min="12" max="12" width="18.42578125" customWidth="1"/>
    <col min="13" max="13" width="15" style="6" bestFit="1" customWidth="1"/>
    <col min="14" max="14" width="19.140625" customWidth="1"/>
    <col min="16" max="16" width="14.28515625" customWidth="1"/>
  </cols>
  <sheetData>
    <row r="1" spans="1:17" x14ac:dyDescent="0.25">
      <c r="A1" s="9" t="s">
        <v>0</v>
      </c>
      <c r="B1" s="10" t="s">
        <v>1</v>
      </c>
      <c r="C1" s="11" t="s">
        <v>2</v>
      </c>
      <c r="D1" s="11" t="s">
        <v>5</v>
      </c>
      <c r="E1" s="10" t="s">
        <v>6</v>
      </c>
      <c r="F1" s="11" t="s">
        <v>7</v>
      </c>
      <c r="G1" s="11" t="s">
        <v>8</v>
      </c>
      <c r="H1" s="11" t="s">
        <v>9</v>
      </c>
      <c r="I1" s="11" t="s">
        <v>10</v>
      </c>
      <c r="J1" s="11" t="s">
        <v>11</v>
      </c>
      <c r="K1" s="11" t="s">
        <v>1557</v>
      </c>
      <c r="L1" s="11" t="s">
        <v>1566</v>
      </c>
      <c r="M1" s="12" t="s">
        <v>1569</v>
      </c>
      <c r="N1" s="13" t="s">
        <v>4</v>
      </c>
      <c r="O1" s="11" t="s">
        <v>1586</v>
      </c>
      <c r="P1" s="4" t="s">
        <v>1590</v>
      </c>
      <c r="Q1" s="4" t="s">
        <v>1591</v>
      </c>
    </row>
    <row r="2" spans="1:17" x14ac:dyDescent="0.25">
      <c r="A2" s="7" t="s">
        <v>12</v>
      </c>
      <c r="B2" s="3">
        <v>45672</v>
      </c>
      <c r="C2" s="2" t="s">
        <v>13</v>
      </c>
      <c r="D2" s="2" t="s">
        <v>1531</v>
      </c>
      <c r="E2" s="3">
        <v>38119</v>
      </c>
      <c r="F2" s="2" t="s">
        <v>14</v>
      </c>
      <c r="G2" s="2" t="s">
        <v>14</v>
      </c>
      <c r="H2" s="2" t="s">
        <v>15</v>
      </c>
      <c r="I2" s="2" t="s">
        <v>16</v>
      </c>
      <c r="J2" s="2" t="s">
        <v>17</v>
      </c>
      <c r="K2" s="2" t="s">
        <v>1558</v>
      </c>
      <c r="L2" s="2" t="s">
        <v>1567</v>
      </c>
      <c r="M2" s="5" t="s">
        <v>1570</v>
      </c>
      <c r="N2" s="8" t="s">
        <v>1578</v>
      </c>
      <c r="O2" s="22">
        <f ca="1">DATEDIF(Addmisson[[#This Row],[Student_DOB]],TODAY(),"y")</f>
        <v>22</v>
      </c>
      <c r="P2" s="2" t="str">
        <f>TEXT(Addmisson[[#This Row],[Admission_Date]],"mmmm")</f>
        <v>January</v>
      </c>
      <c r="Q2" s="2">
        <f>YEAR(Addmisson[[#This Row],[Admission_Date]])</f>
        <v>2025</v>
      </c>
    </row>
    <row r="3" spans="1:17" x14ac:dyDescent="0.25">
      <c r="A3" s="7" t="s">
        <v>18</v>
      </c>
      <c r="B3" s="3">
        <v>45673</v>
      </c>
      <c r="C3" s="2" t="s">
        <v>19</v>
      </c>
      <c r="D3" s="2" t="s">
        <v>1063</v>
      </c>
      <c r="E3" s="3">
        <v>37856</v>
      </c>
      <c r="F3" s="2" t="s">
        <v>127</v>
      </c>
      <c r="G3" s="2" t="s">
        <v>127</v>
      </c>
      <c r="H3" s="2" t="s">
        <v>128</v>
      </c>
      <c r="I3" s="2" t="s">
        <v>20</v>
      </c>
      <c r="J3" s="2" t="s">
        <v>21</v>
      </c>
      <c r="K3" s="2" t="s">
        <v>1559</v>
      </c>
      <c r="L3" s="2" t="s">
        <v>1568</v>
      </c>
      <c r="M3" s="5" t="s">
        <v>1575</v>
      </c>
      <c r="N3" s="8" t="s">
        <v>1578</v>
      </c>
      <c r="O3" s="2">
        <f ca="1">DATEDIF(Addmisson[[#This Row],[Student_DOB]],TODAY(),"y")</f>
        <v>23</v>
      </c>
      <c r="P3" s="2" t="str">
        <f>TEXT(Addmisson[[#This Row],[Admission_Date]],"mmmm")</f>
        <v>January</v>
      </c>
      <c r="Q3" s="2">
        <f>YEAR(Addmisson[[#This Row],[Admission_Date]])</f>
        <v>2025</v>
      </c>
    </row>
    <row r="4" spans="1:17" x14ac:dyDescent="0.25">
      <c r="A4" s="7" t="s">
        <v>22</v>
      </c>
      <c r="B4" s="3">
        <v>45674</v>
      </c>
      <c r="C4" s="2" t="s">
        <v>23</v>
      </c>
      <c r="D4" s="2" t="s">
        <v>1064</v>
      </c>
      <c r="E4" s="3">
        <v>39390</v>
      </c>
      <c r="F4" s="2" t="s">
        <v>129</v>
      </c>
      <c r="G4" s="2" t="s">
        <v>129</v>
      </c>
      <c r="H4" s="2" t="s">
        <v>130</v>
      </c>
      <c r="I4" s="2" t="s">
        <v>24</v>
      </c>
      <c r="J4" s="2" t="s">
        <v>24</v>
      </c>
      <c r="K4" s="2" t="s">
        <v>1560</v>
      </c>
      <c r="L4" s="2" t="s">
        <v>1567</v>
      </c>
      <c r="M4" s="5" t="s">
        <v>1571</v>
      </c>
      <c r="N4" s="8" t="s">
        <v>1578</v>
      </c>
      <c r="O4" s="2">
        <f ca="1">DATEDIF(Addmisson[[#This Row],[Student_DOB]],TODAY(),"y")</f>
        <v>18</v>
      </c>
      <c r="P4" s="2" t="str">
        <f>TEXT(Addmisson[[#This Row],[Admission_Date]],"mmmm")</f>
        <v>January</v>
      </c>
      <c r="Q4" s="2">
        <f>YEAR(Addmisson[[#This Row],[Admission_Date]])</f>
        <v>2025</v>
      </c>
    </row>
    <row r="5" spans="1:17" x14ac:dyDescent="0.25">
      <c r="A5" s="7" t="s">
        <v>25</v>
      </c>
      <c r="B5" s="3">
        <v>45675</v>
      </c>
      <c r="C5" s="2" t="s">
        <v>26</v>
      </c>
      <c r="D5" s="2" t="s">
        <v>1065</v>
      </c>
      <c r="E5" s="3">
        <v>38399</v>
      </c>
      <c r="F5" s="2" t="s">
        <v>27</v>
      </c>
      <c r="G5" s="2" t="s">
        <v>27</v>
      </c>
      <c r="H5" s="2" t="s">
        <v>131</v>
      </c>
      <c r="I5" s="2" t="s">
        <v>28</v>
      </c>
      <c r="J5" s="2" t="s">
        <v>29</v>
      </c>
      <c r="K5" s="2" t="s">
        <v>1560</v>
      </c>
      <c r="L5" s="2" t="s">
        <v>1567</v>
      </c>
      <c r="M5" s="5" t="s">
        <v>1572</v>
      </c>
      <c r="N5" s="8" t="s">
        <v>1578</v>
      </c>
      <c r="O5" s="2">
        <f ca="1">DATEDIF(Addmisson[[#This Row],[Student_DOB]],TODAY(),"y")</f>
        <v>21</v>
      </c>
      <c r="P5" s="2" t="str">
        <f>TEXT(Addmisson[[#This Row],[Admission_Date]],"mmmm")</f>
        <v>January</v>
      </c>
      <c r="Q5" s="2">
        <f>YEAR(Addmisson[[#This Row],[Admission_Date]])</f>
        <v>2025</v>
      </c>
    </row>
    <row r="6" spans="1:17" x14ac:dyDescent="0.25">
      <c r="A6" s="7" t="s">
        <v>30</v>
      </c>
      <c r="B6" s="3">
        <v>45676</v>
      </c>
      <c r="C6" s="2" t="s">
        <v>31</v>
      </c>
      <c r="D6" s="2" t="s">
        <v>1066</v>
      </c>
      <c r="E6" s="3">
        <v>38168</v>
      </c>
      <c r="F6" s="2" t="s">
        <v>14</v>
      </c>
      <c r="G6" s="2" t="s">
        <v>14</v>
      </c>
      <c r="H6" s="2" t="s">
        <v>132</v>
      </c>
      <c r="I6" s="2" t="s">
        <v>33</v>
      </c>
      <c r="J6" s="2" t="s">
        <v>34</v>
      </c>
      <c r="K6" s="2" t="s">
        <v>1560</v>
      </c>
      <c r="L6" s="2" t="s">
        <v>1568</v>
      </c>
      <c r="M6" s="5" t="s">
        <v>1573</v>
      </c>
      <c r="N6" s="8" t="s">
        <v>1578</v>
      </c>
      <c r="O6" s="2">
        <f ca="1">DATEDIF(Addmisson[[#This Row],[Student_DOB]],TODAY(),"y")</f>
        <v>22</v>
      </c>
      <c r="P6" s="2" t="str">
        <f>TEXT(Addmisson[[#This Row],[Admission_Date]],"mmmm")</f>
        <v>January</v>
      </c>
      <c r="Q6" s="2">
        <f>YEAR(Addmisson[[#This Row],[Admission_Date]])</f>
        <v>2025</v>
      </c>
    </row>
    <row r="7" spans="1:17" x14ac:dyDescent="0.25">
      <c r="A7" s="7" t="s">
        <v>35</v>
      </c>
      <c r="B7" s="3">
        <v>45677</v>
      </c>
      <c r="C7" s="2" t="s">
        <v>36</v>
      </c>
      <c r="D7" s="2" t="s">
        <v>1067</v>
      </c>
      <c r="E7" s="3">
        <v>37883</v>
      </c>
      <c r="F7" s="2" t="s">
        <v>127</v>
      </c>
      <c r="G7" s="2" t="s">
        <v>127</v>
      </c>
      <c r="H7" s="2" t="s">
        <v>133</v>
      </c>
      <c r="I7" s="2" t="s">
        <v>37</v>
      </c>
      <c r="J7" s="2" t="s">
        <v>17</v>
      </c>
      <c r="K7" s="2" t="s">
        <v>1560</v>
      </c>
      <c r="L7" s="2" t="s">
        <v>1567</v>
      </c>
      <c r="M7" s="5" t="s">
        <v>1574</v>
      </c>
      <c r="N7" s="8" t="s">
        <v>1578</v>
      </c>
      <c r="O7" s="2">
        <f ca="1">DATEDIF(Addmisson[[#This Row],[Student_DOB]],TODAY(),"y")</f>
        <v>23</v>
      </c>
      <c r="P7" s="2" t="str">
        <f>TEXT(Addmisson[[#This Row],[Admission_Date]],"mmmm")</f>
        <v>January</v>
      </c>
      <c r="Q7" s="2">
        <f>YEAR(Addmisson[[#This Row],[Admission_Date]])</f>
        <v>2025</v>
      </c>
    </row>
    <row r="8" spans="1:17" x14ac:dyDescent="0.25">
      <c r="A8" s="7" t="s">
        <v>38</v>
      </c>
      <c r="B8" s="3">
        <v>45678</v>
      </c>
      <c r="C8" s="2" t="s">
        <v>39</v>
      </c>
      <c r="D8" s="2" t="s">
        <v>1068</v>
      </c>
      <c r="E8" s="3">
        <v>38787</v>
      </c>
      <c r="F8" s="2" t="s">
        <v>134</v>
      </c>
      <c r="G8" s="2" t="s">
        <v>134</v>
      </c>
      <c r="H8" s="2" t="s">
        <v>135</v>
      </c>
      <c r="I8" s="2" t="s">
        <v>20</v>
      </c>
      <c r="J8" s="2" t="s">
        <v>21</v>
      </c>
      <c r="K8" s="2" t="s">
        <v>1560</v>
      </c>
      <c r="L8" s="2" t="s">
        <v>1568</v>
      </c>
      <c r="M8" s="5" t="s">
        <v>1576</v>
      </c>
      <c r="N8" s="8" t="s">
        <v>1578</v>
      </c>
      <c r="O8" s="2">
        <f ca="1">DATEDIF(Addmisson[[#This Row],[Student_DOB]],TODAY(),"y")</f>
        <v>20</v>
      </c>
      <c r="P8" s="2" t="str">
        <f>TEXT(Addmisson[[#This Row],[Admission_Date]],"mmmm")</f>
        <v>January</v>
      </c>
      <c r="Q8" s="2">
        <f>YEAR(Addmisson[[#This Row],[Admission_Date]])</f>
        <v>2025</v>
      </c>
    </row>
    <row r="9" spans="1:17" x14ac:dyDescent="0.25">
      <c r="A9" s="7" t="s">
        <v>40</v>
      </c>
      <c r="B9" s="3">
        <v>45679</v>
      </c>
      <c r="C9" s="2" t="s">
        <v>41</v>
      </c>
      <c r="D9" s="2" t="s">
        <v>1069</v>
      </c>
      <c r="E9" s="3">
        <v>38328</v>
      </c>
      <c r="F9" s="2" t="s">
        <v>129</v>
      </c>
      <c r="G9" s="2" t="s">
        <v>129</v>
      </c>
      <c r="H9" s="2" t="s">
        <v>136</v>
      </c>
      <c r="I9" s="2" t="s">
        <v>42</v>
      </c>
      <c r="J9" s="2" t="s">
        <v>42</v>
      </c>
      <c r="K9" s="2" t="s">
        <v>1560</v>
      </c>
      <c r="L9" s="2" t="s">
        <v>1568</v>
      </c>
      <c r="M9" s="5" t="s">
        <v>1577</v>
      </c>
      <c r="N9" s="8" t="s">
        <v>1578</v>
      </c>
      <c r="O9" s="2">
        <f ca="1">DATEDIF(Addmisson[[#This Row],[Student_DOB]],TODAY(),"y")</f>
        <v>21</v>
      </c>
      <c r="P9" s="2" t="str">
        <f>TEXT(Addmisson[[#This Row],[Admission_Date]],"mmmm")</f>
        <v>January</v>
      </c>
      <c r="Q9" s="2">
        <f>YEAR(Addmisson[[#This Row],[Admission_Date]])</f>
        <v>2025</v>
      </c>
    </row>
    <row r="10" spans="1:17" x14ac:dyDescent="0.25">
      <c r="A10" s="7" t="s">
        <v>43</v>
      </c>
      <c r="B10" s="3">
        <v>45680</v>
      </c>
      <c r="C10" s="2" t="s">
        <v>44</v>
      </c>
      <c r="D10" s="2" t="s">
        <v>1070</v>
      </c>
      <c r="E10" s="3">
        <v>39475</v>
      </c>
      <c r="F10" s="2" t="s">
        <v>127</v>
      </c>
      <c r="G10" s="2" t="s">
        <v>127</v>
      </c>
      <c r="H10" s="2" t="s">
        <v>137</v>
      </c>
      <c r="I10" s="2" t="s">
        <v>28</v>
      </c>
      <c r="J10" s="2" t="s">
        <v>29</v>
      </c>
      <c r="K10" s="2" t="s">
        <v>1560</v>
      </c>
      <c r="L10" s="2" t="s">
        <v>1567</v>
      </c>
      <c r="M10" s="5" t="s">
        <v>1570</v>
      </c>
      <c r="N10" s="8" t="s">
        <v>1578</v>
      </c>
      <c r="O10" s="2">
        <f ca="1">DATEDIF(Addmisson[[#This Row],[Student_DOB]],TODAY(),"y")</f>
        <v>18</v>
      </c>
      <c r="P10" s="2" t="str">
        <f>TEXT(Addmisson[[#This Row],[Admission_Date]],"mmmm")</f>
        <v>January</v>
      </c>
      <c r="Q10" s="2">
        <f>YEAR(Addmisson[[#This Row],[Admission_Date]])</f>
        <v>2025</v>
      </c>
    </row>
    <row r="11" spans="1:17" x14ac:dyDescent="0.25">
      <c r="A11" s="7" t="s">
        <v>45</v>
      </c>
      <c r="B11" s="3">
        <v>45681</v>
      </c>
      <c r="C11" s="2" t="s">
        <v>46</v>
      </c>
      <c r="D11" s="2" t="s">
        <v>1071</v>
      </c>
      <c r="E11" s="3">
        <v>38177</v>
      </c>
      <c r="F11" s="2" t="s">
        <v>138</v>
      </c>
      <c r="G11" s="2" t="s">
        <v>138</v>
      </c>
      <c r="H11" s="2" t="s">
        <v>138</v>
      </c>
      <c r="I11" s="2" t="s">
        <v>33</v>
      </c>
      <c r="J11" s="2" t="s">
        <v>34</v>
      </c>
      <c r="K11" s="2" t="s">
        <v>1560</v>
      </c>
      <c r="L11" s="2" t="s">
        <v>1567</v>
      </c>
      <c r="M11" s="5" t="s">
        <v>1575</v>
      </c>
      <c r="N11" s="8" t="s">
        <v>1578</v>
      </c>
      <c r="O11" s="2">
        <f ca="1">DATEDIF(Addmisson[[#This Row],[Student_DOB]],TODAY(),"y")</f>
        <v>22</v>
      </c>
      <c r="P11" s="2" t="str">
        <f>TEXT(Addmisson[[#This Row],[Admission_Date]],"mmmm")</f>
        <v>January</v>
      </c>
      <c r="Q11" s="2">
        <f>YEAR(Addmisson[[#This Row],[Admission_Date]])</f>
        <v>2025</v>
      </c>
    </row>
    <row r="12" spans="1:17" x14ac:dyDescent="0.25">
      <c r="A12" s="7" t="s">
        <v>47</v>
      </c>
      <c r="B12" s="3">
        <v>45682</v>
      </c>
      <c r="C12" s="2" t="s">
        <v>48</v>
      </c>
      <c r="D12" s="2" t="s">
        <v>1072</v>
      </c>
      <c r="E12" s="3">
        <v>38822</v>
      </c>
      <c r="F12" s="2" t="s">
        <v>14</v>
      </c>
      <c r="G12" s="2" t="s">
        <v>14</v>
      </c>
      <c r="H12" s="2" t="s">
        <v>15</v>
      </c>
      <c r="I12" s="2" t="s">
        <v>16</v>
      </c>
      <c r="J12" s="2" t="s">
        <v>17</v>
      </c>
      <c r="K12" s="2" t="s">
        <v>1560</v>
      </c>
      <c r="L12" s="2" t="s">
        <v>1568</v>
      </c>
      <c r="M12" s="5" t="s">
        <v>1571</v>
      </c>
      <c r="N12" s="8" t="s">
        <v>1578</v>
      </c>
      <c r="O12" s="2">
        <f ca="1">DATEDIF(Addmisson[[#This Row],[Student_DOB]],TODAY(),"y")</f>
        <v>20</v>
      </c>
      <c r="P12" s="2" t="str">
        <f>TEXT(Addmisson[[#This Row],[Admission_Date]],"mmmm")</f>
        <v>January</v>
      </c>
      <c r="Q12" s="2">
        <f>YEAR(Addmisson[[#This Row],[Admission_Date]])</f>
        <v>2025</v>
      </c>
    </row>
    <row r="13" spans="1:17" x14ac:dyDescent="0.25">
      <c r="A13" s="7" t="s">
        <v>49</v>
      </c>
      <c r="B13" s="3">
        <v>45683</v>
      </c>
      <c r="C13" s="2" t="s">
        <v>50</v>
      </c>
      <c r="D13" s="2" t="s">
        <v>1073</v>
      </c>
      <c r="E13" s="3">
        <v>37916</v>
      </c>
      <c r="F13" s="2" t="s">
        <v>127</v>
      </c>
      <c r="G13" s="2" t="s">
        <v>127</v>
      </c>
      <c r="H13" s="2" t="s">
        <v>139</v>
      </c>
      <c r="I13" s="2" t="s">
        <v>20</v>
      </c>
      <c r="J13" s="2" t="s">
        <v>21</v>
      </c>
      <c r="K13" s="2" t="s">
        <v>1560</v>
      </c>
      <c r="L13" s="2" t="s">
        <v>1567</v>
      </c>
      <c r="M13" s="5" t="s">
        <v>1572</v>
      </c>
      <c r="N13" s="8" t="s">
        <v>1578</v>
      </c>
      <c r="O13" s="2">
        <f ca="1">DATEDIF(Addmisson[[#This Row],[Student_DOB]],TODAY(),"y")</f>
        <v>22</v>
      </c>
      <c r="P13" s="2" t="str">
        <f>TEXT(Addmisson[[#This Row],[Admission_Date]],"mmmm")</f>
        <v>January</v>
      </c>
      <c r="Q13" s="2">
        <f>YEAR(Addmisson[[#This Row],[Admission_Date]])</f>
        <v>2025</v>
      </c>
    </row>
    <row r="14" spans="1:17" x14ac:dyDescent="0.25">
      <c r="A14" s="7" t="s">
        <v>51</v>
      </c>
      <c r="B14" s="3">
        <v>45684</v>
      </c>
      <c r="C14" s="2" t="s">
        <v>52</v>
      </c>
      <c r="D14" s="2" t="s">
        <v>1074</v>
      </c>
      <c r="E14" s="3">
        <v>37999</v>
      </c>
      <c r="F14" s="2" t="s">
        <v>129</v>
      </c>
      <c r="G14" s="2" t="s">
        <v>129</v>
      </c>
      <c r="H14" s="2" t="s">
        <v>140</v>
      </c>
      <c r="I14" s="2" t="s">
        <v>24</v>
      </c>
      <c r="J14" s="2" t="s">
        <v>24</v>
      </c>
      <c r="K14" s="2" t="s">
        <v>1560</v>
      </c>
      <c r="L14" s="2" t="s">
        <v>1567</v>
      </c>
      <c r="M14" s="5" t="s">
        <v>1573</v>
      </c>
      <c r="N14" s="8" t="s">
        <v>1578</v>
      </c>
      <c r="O14" s="2">
        <f ca="1">DATEDIF(Addmisson[[#This Row],[Student_DOB]],TODAY(),"y")</f>
        <v>22</v>
      </c>
      <c r="P14" s="2" t="str">
        <f>TEXT(Addmisson[[#This Row],[Admission_Date]],"mmmm")</f>
        <v>January</v>
      </c>
      <c r="Q14" s="2">
        <f>YEAR(Addmisson[[#This Row],[Admission_Date]])</f>
        <v>2025</v>
      </c>
    </row>
    <row r="15" spans="1:17" x14ac:dyDescent="0.25">
      <c r="A15" s="7" t="s">
        <v>53</v>
      </c>
      <c r="B15" s="3">
        <v>45685</v>
      </c>
      <c r="C15" s="2" t="s">
        <v>54</v>
      </c>
      <c r="D15" s="2" t="s">
        <v>1075</v>
      </c>
      <c r="E15" s="3">
        <v>38572</v>
      </c>
      <c r="F15" s="2" t="s">
        <v>27</v>
      </c>
      <c r="G15" s="2" t="s">
        <v>27</v>
      </c>
      <c r="H15" s="2" t="s">
        <v>131</v>
      </c>
      <c r="I15" s="2" t="s">
        <v>28</v>
      </c>
      <c r="J15" s="2" t="s">
        <v>29</v>
      </c>
      <c r="K15" s="2" t="s">
        <v>1560</v>
      </c>
      <c r="L15" s="2" t="s">
        <v>1568</v>
      </c>
      <c r="M15" s="5" t="s">
        <v>1574</v>
      </c>
      <c r="N15" s="8" t="s">
        <v>1578</v>
      </c>
      <c r="O15" s="2">
        <f ca="1">DATEDIF(Addmisson[[#This Row],[Student_DOB]],TODAY(),"y")</f>
        <v>21</v>
      </c>
      <c r="P15" s="2" t="str">
        <f>TEXT(Addmisson[[#This Row],[Admission_Date]],"mmmm")</f>
        <v>January</v>
      </c>
      <c r="Q15" s="2">
        <f>YEAR(Addmisson[[#This Row],[Admission_Date]])</f>
        <v>2025</v>
      </c>
    </row>
    <row r="16" spans="1:17" x14ac:dyDescent="0.25">
      <c r="A16" s="7" t="s">
        <v>55</v>
      </c>
      <c r="B16" s="3">
        <v>45686</v>
      </c>
      <c r="C16" s="2" t="s">
        <v>56</v>
      </c>
      <c r="D16" s="2" t="s">
        <v>1076</v>
      </c>
      <c r="E16" s="3">
        <v>37758</v>
      </c>
      <c r="F16" s="2" t="s">
        <v>127</v>
      </c>
      <c r="G16" s="2" t="s">
        <v>127</v>
      </c>
      <c r="H16" s="2" t="s">
        <v>141</v>
      </c>
      <c r="I16" s="2" t="s">
        <v>33</v>
      </c>
      <c r="J16" s="2" t="s">
        <v>34</v>
      </c>
      <c r="K16" s="2" t="s">
        <v>1560</v>
      </c>
      <c r="L16" s="2" t="s">
        <v>1567</v>
      </c>
      <c r="M16" s="5" t="s">
        <v>1576</v>
      </c>
      <c r="N16" s="8" t="s">
        <v>1578</v>
      </c>
      <c r="O16" s="2">
        <f ca="1">DATEDIF(Addmisson[[#This Row],[Student_DOB]],TODAY(),"y")</f>
        <v>23</v>
      </c>
      <c r="P16" s="2" t="str">
        <f>TEXT(Addmisson[[#This Row],[Admission_Date]],"mmmm")</f>
        <v>January</v>
      </c>
      <c r="Q16" s="2">
        <f>YEAR(Addmisson[[#This Row],[Admission_Date]])</f>
        <v>2025</v>
      </c>
    </row>
    <row r="17" spans="1:17" x14ac:dyDescent="0.25">
      <c r="A17" s="7" t="s">
        <v>57</v>
      </c>
      <c r="B17" s="3">
        <v>45687</v>
      </c>
      <c r="C17" s="2" t="s">
        <v>58</v>
      </c>
      <c r="D17" s="2" t="s">
        <v>1077</v>
      </c>
      <c r="E17" s="3">
        <v>39076</v>
      </c>
      <c r="F17" s="2" t="s">
        <v>142</v>
      </c>
      <c r="G17" s="2" t="s">
        <v>142</v>
      </c>
      <c r="H17" s="2" t="s">
        <v>142</v>
      </c>
      <c r="I17" s="2" t="s">
        <v>37</v>
      </c>
      <c r="J17" s="2" t="s">
        <v>17</v>
      </c>
      <c r="K17" s="2" t="s">
        <v>1565</v>
      </c>
      <c r="L17" s="2" t="s">
        <v>1568</v>
      </c>
      <c r="M17" s="5" t="s">
        <v>1577</v>
      </c>
      <c r="N17" s="8" t="s">
        <v>1578</v>
      </c>
      <c r="O17" s="2">
        <f ca="1">DATEDIF(Addmisson[[#This Row],[Student_DOB]],TODAY(),"y")</f>
        <v>19</v>
      </c>
      <c r="P17" s="2" t="str">
        <f>TEXT(Addmisson[[#This Row],[Admission_Date]],"mmmm")</f>
        <v>January</v>
      </c>
      <c r="Q17" s="2">
        <f>YEAR(Addmisson[[#This Row],[Admission_Date]])</f>
        <v>2025</v>
      </c>
    </row>
    <row r="18" spans="1:17" x14ac:dyDescent="0.25">
      <c r="A18" s="7" t="s">
        <v>59</v>
      </c>
      <c r="B18" s="3">
        <v>45688</v>
      </c>
      <c r="C18" s="2" t="s">
        <v>60</v>
      </c>
      <c r="D18" s="2" t="s">
        <v>1078</v>
      </c>
      <c r="E18" s="3">
        <v>38414</v>
      </c>
      <c r="F18" s="2" t="s">
        <v>129</v>
      </c>
      <c r="G18" s="2" t="s">
        <v>129</v>
      </c>
      <c r="H18" s="2" t="s">
        <v>143</v>
      </c>
      <c r="I18" s="2" t="s">
        <v>20</v>
      </c>
      <c r="J18" s="2" t="s">
        <v>21</v>
      </c>
      <c r="K18" s="2" t="s">
        <v>1558</v>
      </c>
      <c r="L18" s="2" t="s">
        <v>1568</v>
      </c>
      <c r="M18" s="5" t="s">
        <v>1570</v>
      </c>
      <c r="N18" s="8" t="s">
        <v>1578</v>
      </c>
      <c r="O18" s="2">
        <f ca="1">DATEDIF(Addmisson[[#This Row],[Student_DOB]],TODAY(),"y")</f>
        <v>21</v>
      </c>
      <c r="P18" s="2" t="str">
        <f>TEXT(Addmisson[[#This Row],[Admission_Date]],"mmmm")</f>
        <v>January</v>
      </c>
      <c r="Q18" s="2">
        <f>YEAR(Addmisson[[#This Row],[Admission_Date]])</f>
        <v>2025</v>
      </c>
    </row>
    <row r="19" spans="1:17" x14ac:dyDescent="0.25">
      <c r="A19" s="7" t="s">
        <v>61</v>
      </c>
      <c r="B19" s="3">
        <v>45689</v>
      </c>
      <c r="C19" s="2" t="s">
        <v>62</v>
      </c>
      <c r="D19" s="2" t="s">
        <v>1079</v>
      </c>
      <c r="E19" s="3">
        <v>37786</v>
      </c>
      <c r="F19" s="2" t="s">
        <v>127</v>
      </c>
      <c r="G19" s="2" t="s">
        <v>127</v>
      </c>
      <c r="H19" s="2" t="s">
        <v>144</v>
      </c>
      <c r="I19" s="2" t="s">
        <v>24</v>
      </c>
      <c r="J19" s="2" t="s">
        <v>24</v>
      </c>
      <c r="K19" s="2" t="s">
        <v>1559</v>
      </c>
      <c r="L19" s="2" t="s">
        <v>1567</v>
      </c>
      <c r="M19" s="5" t="s">
        <v>1575</v>
      </c>
      <c r="N19" s="8" t="s">
        <v>1578</v>
      </c>
      <c r="O19" s="2">
        <f ca="1">DATEDIF(Addmisson[[#This Row],[Student_DOB]],TODAY(),"y")</f>
        <v>23</v>
      </c>
      <c r="P19" s="2" t="str">
        <f>TEXT(Addmisson[[#This Row],[Admission_Date]],"mmmm")</f>
        <v>February</v>
      </c>
      <c r="Q19" s="2">
        <f>YEAR(Addmisson[[#This Row],[Admission_Date]])</f>
        <v>2025</v>
      </c>
    </row>
    <row r="20" spans="1:17" x14ac:dyDescent="0.25">
      <c r="A20" s="7" t="s">
        <v>63</v>
      </c>
      <c r="B20" s="3">
        <v>45690</v>
      </c>
      <c r="C20" s="2" t="s">
        <v>64</v>
      </c>
      <c r="D20" s="2" t="s">
        <v>1080</v>
      </c>
      <c r="E20" s="3">
        <v>38259</v>
      </c>
      <c r="F20" s="2" t="s">
        <v>14</v>
      </c>
      <c r="G20" s="2" t="s">
        <v>14</v>
      </c>
      <c r="H20" s="2" t="s">
        <v>132</v>
      </c>
      <c r="I20" s="2" t="s">
        <v>28</v>
      </c>
      <c r="J20" s="2" t="s">
        <v>29</v>
      </c>
      <c r="K20" s="2" t="s">
        <v>1560</v>
      </c>
      <c r="L20" s="2" t="s">
        <v>1567</v>
      </c>
      <c r="M20" s="5" t="s">
        <v>1571</v>
      </c>
      <c r="N20" s="8" t="s">
        <v>1578</v>
      </c>
      <c r="O20" s="2">
        <f ca="1">DATEDIF(Addmisson[[#This Row],[Student_DOB]],TODAY(),"y")</f>
        <v>22</v>
      </c>
      <c r="P20" s="2" t="str">
        <f>TEXT(Addmisson[[#This Row],[Admission_Date]],"mmmm")</f>
        <v>February</v>
      </c>
      <c r="Q20" s="2">
        <f>YEAR(Addmisson[[#This Row],[Admission_Date]])</f>
        <v>2025</v>
      </c>
    </row>
    <row r="21" spans="1:17" x14ac:dyDescent="0.25">
      <c r="A21" s="7" t="s">
        <v>65</v>
      </c>
      <c r="B21" s="3">
        <v>45691</v>
      </c>
      <c r="C21" s="2" t="s">
        <v>66</v>
      </c>
      <c r="D21" s="2" t="s">
        <v>1081</v>
      </c>
      <c r="E21" s="3">
        <v>38389</v>
      </c>
      <c r="F21" s="2" t="s">
        <v>145</v>
      </c>
      <c r="G21" s="2" t="s">
        <v>145</v>
      </c>
      <c r="H21" s="2" t="s">
        <v>145</v>
      </c>
      <c r="I21" s="2" t="s">
        <v>33</v>
      </c>
      <c r="J21" s="2" t="s">
        <v>34</v>
      </c>
      <c r="K21" s="2" t="s">
        <v>1561</v>
      </c>
      <c r="L21" s="2" t="s">
        <v>1567</v>
      </c>
      <c r="M21" s="5" t="s">
        <v>1572</v>
      </c>
      <c r="N21" s="8" t="s">
        <v>1578</v>
      </c>
      <c r="O21" s="2">
        <f ca="1">DATEDIF(Addmisson[[#This Row],[Student_DOB]],TODAY(),"y")</f>
        <v>21</v>
      </c>
      <c r="P21" s="2" t="str">
        <f>TEXT(Addmisson[[#This Row],[Admission_Date]],"mmmm")</f>
        <v>February</v>
      </c>
      <c r="Q21" s="2">
        <f>YEAR(Addmisson[[#This Row],[Admission_Date]])</f>
        <v>2025</v>
      </c>
    </row>
    <row r="22" spans="1:17" x14ac:dyDescent="0.25">
      <c r="A22" s="7" t="s">
        <v>67</v>
      </c>
      <c r="B22" s="3">
        <v>45692</v>
      </c>
      <c r="C22" s="2" t="s">
        <v>68</v>
      </c>
      <c r="D22" s="2" t="s">
        <v>1082</v>
      </c>
      <c r="E22" s="3">
        <v>37904</v>
      </c>
      <c r="F22" s="2" t="s">
        <v>127</v>
      </c>
      <c r="G22" s="2" t="s">
        <v>127</v>
      </c>
      <c r="H22" s="2" t="s">
        <v>146</v>
      </c>
      <c r="I22" s="2" t="s">
        <v>16</v>
      </c>
      <c r="J22" s="2" t="s">
        <v>17</v>
      </c>
      <c r="K22" s="2" t="s">
        <v>1562</v>
      </c>
      <c r="L22" s="2" t="s">
        <v>1567</v>
      </c>
      <c r="M22" s="5" t="s">
        <v>1573</v>
      </c>
      <c r="N22" s="8" t="s">
        <v>1578</v>
      </c>
      <c r="O22" s="2">
        <f ca="1">DATEDIF(Addmisson[[#This Row],[Student_DOB]],TODAY(),"y")</f>
        <v>23</v>
      </c>
      <c r="P22" s="2" t="str">
        <f>TEXT(Addmisson[[#This Row],[Admission_Date]],"mmmm")</f>
        <v>February</v>
      </c>
      <c r="Q22" s="2">
        <f>YEAR(Addmisson[[#This Row],[Admission_Date]])</f>
        <v>2025</v>
      </c>
    </row>
    <row r="23" spans="1:17" x14ac:dyDescent="0.25">
      <c r="A23" s="7" t="s">
        <v>69</v>
      </c>
      <c r="B23" s="3">
        <v>45693</v>
      </c>
      <c r="C23" s="2" t="s">
        <v>70</v>
      </c>
      <c r="D23" s="2" t="s">
        <v>1083</v>
      </c>
      <c r="E23" s="3">
        <v>38189</v>
      </c>
      <c r="F23" s="2" t="s">
        <v>129</v>
      </c>
      <c r="G23" s="2" t="s">
        <v>129</v>
      </c>
      <c r="H23" s="2" t="s">
        <v>147</v>
      </c>
      <c r="I23" s="2" t="s">
        <v>20</v>
      </c>
      <c r="J23" s="2" t="s">
        <v>21</v>
      </c>
      <c r="K23" s="2" t="s">
        <v>1563</v>
      </c>
      <c r="L23" s="2" t="s">
        <v>1567</v>
      </c>
      <c r="M23" s="5" t="s">
        <v>1570</v>
      </c>
      <c r="N23" s="8" t="s">
        <v>1578</v>
      </c>
      <c r="O23" s="2">
        <f ca="1">DATEDIF(Addmisson[[#This Row],[Student_DOB]],TODAY(),"y")</f>
        <v>22</v>
      </c>
      <c r="P23" s="2" t="str">
        <f>TEXT(Addmisson[[#This Row],[Admission_Date]],"mmmm")</f>
        <v>February</v>
      </c>
      <c r="Q23" s="2">
        <f>YEAR(Addmisson[[#This Row],[Admission_Date]])</f>
        <v>2025</v>
      </c>
    </row>
    <row r="24" spans="1:17" x14ac:dyDescent="0.25">
      <c r="A24" s="7" t="s">
        <v>71</v>
      </c>
      <c r="B24" s="3">
        <v>45694</v>
      </c>
      <c r="C24" s="2" t="s">
        <v>72</v>
      </c>
      <c r="D24" s="2" t="s">
        <v>1084</v>
      </c>
      <c r="E24" s="3">
        <v>38447</v>
      </c>
      <c r="F24" s="2" t="s">
        <v>148</v>
      </c>
      <c r="G24" s="2" t="s">
        <v>148</v>
      </c>
      <c r="H24" s="2" t="s">
        <v>148</v>
      </c>
      <c r="I24" s="2" t="s">
        <v>42</v>
      </c>
      <c r="J24" s="2" t="s">
        <v>42</v>
      </c>
      <c r="K24" s="2" t="s">
        <v>1564</v>
      </c>
      <c r="L24" s="2" t="s">
        <v>1567</v>
      </c>
      <c r="M24" s="5" t="s">
        <v>1575</v>
      </c>
      <c r="N24" s="8" t="s">
        <v>1578</v>
      </c>
      <c r="O24" s="2">
        <f ca="1">DATEDIF(Addmisson[[#This Row],[Student_DOB]],TODAY(),"y")</f>
        <v>21</v>
      </c>
      <c r="P24" s="2" t="str">
        <f>TEXT(Addmisson[[#This Row],[Admission_Date]],"mmmm")</f>
        <v>February</v>
      </c>
      <c r="Q24" s="2">
        <f>YEAR(Addmisson[[#This Row],[Admission_Date]])</f>
        <v>2025</v>
      </c>
    </row>
    <row r="25" spans="1:17" x14ac:dyDescent="0.25">
      <c r="A25" s="7" t="s">
        <v>73</v>
      </c>
      <c r="B25" s="3">
        <v>45695</v>
      </c>
      <c r="C25" s="2" t="s">
        <v>74</v>
      </c>
      <c r="D25" s="2" t="s">
        <v>1085</v>
      </c>
      <c r="E25" s="3">
        <v>37973</v>
      </c>
      <c r="F25" s="2" t="s">
        <v>127</v>
      </c>
      <c r="G25" s="2" t="s">
        <v>127</v>
      </c>
      <c r="H25" s="2" t="s">
        <v>128</v>
      </c>
      <c r="I25" s="2" t="s">
        <v>28</v>
      </c>
      <c r="J25" s="2" t="s">
        <v>29</v>
      </c>
      <c r="K25" s="2" t="s">
        <v>1564</v>
      </c>
      <c r="L25" s="2" t="s">
        <v>1567</v>
      </c>
      <c r="M25" s="5" t="s">
        <v>1571</v>
      </c>
      <c r="N25" s="8" t="s">
        <v>1578</v>
      </c>
      <c r="O25" s="2">
        <f ca="1">DATEDIF(Addmisson[[#This Row],[Student_DOB]],TODAY(),"y")</f>
        <v>22</v>
      </c>
      <c r="P25" s="2" t="str">
        <f>TEXT(Addmisson[[#This Row],[Admission_Date]],"mmmm")</f>
        <v>February</v>
      </c>
      <c r="Q25" s="2">
        <f>YEAR(Addmisson[[#This Row],[Admission_Date]])</f>
        <v>2025</v>
      </c>
    </row>
    <row r="26" spans="1:17" x14ac:dyDescent="0.25">
      <c r="A26" s="7" t="s">
        <v>75</v>
      </c>
      <c r="B26" s="3">
        <v>45696</v>
      </c>
      <c r="C26" s="2" t="s">
        <v>76</v>
      </c>
      <c r="D26" s="2" t="s">
        <v>1086</v>
      </c>
      <c r="E26" s="3">
        <v>38226</v>
      </c>
      <c r="F26" s="2" t="s">
        <v>14</v>
      </c>
      <c r="G26" s="2" t="s">
        <v>14</v>
      </c>
      <c r="H26" s="2" t="s">
        <v>15</v>
      </c>
      <c r="I26" s="2" t="s">
        <v>33</v>
      </c>
      <c r="J26" s="2" t="s">
        <v>34</v>
      </c>
      <c r="K26" s="2" t="s">
        <v>1564</v>
      </c>
      <c r="L26" s="2" t="s">
        <v>1567</v>
      </c>
      <c r="M26" s="5" t="s">
        <v>1572</v>
      </c>
      <c r="N26" s="8" t="s">
        <v>1578</v>
      </c>
      <c r="O26" s="2">
        <f ca="1">DATEDIF(Addmisson[[#This Row],[Student_DOB]],TODAY(),"y")</f>
        <v>22</v>
      </c>
      <c r="P26" s="2" t="str">
        <f>TEXT(Addmisson[[#This Row],[Admission_Date]],"mmmm")</f>
        <v>February</v>
      </c>
      <c r="Q26" s="2">
        <f>YEAR(Addmisson[[#This Row],[Admission_Date]])</f>
        <v>2025</v>
      </c>
    </row>
    <row r="27" spans="1:17" x14ac:dyDescent="0.25">
      <c r="A27" s="7" t="s">
        <v>77</v>
      </c>
      <c r="B27" s="3">
        <v>45697</v>
      </c>
      <c r="C27" s="2" t="s">
        <v>78</v>
      </c>
      <c r="D27" s="2" t="s">
        <v>1087</v>
      </c>
      <c r="E27" s="3">
        <v>37257</v>
      </c>
      <c r="F27" s="2" t="s">
        <v>32</v>
      </c>
      <c r="G27" s="2" t="s">
        <v>32</v>
      </c>
      <c r="H27" s="2" t="s">
        <v>32</v>
      </c>
      <c r="I27" s="2" t="s">
        <v>16</v>
      </c>
      <c r="J27" s="2" t="s">
        <v>17</v>
      </c>
      <c r="K27" s="2" t="s">
        <v>1564</v>
      </c>
      <c r="L27" s="2" t="s">
        <v>1567</v>
      </c>
      <c r="M27" s="5" t="s">
        <v>1573</v>
      </c>
      <c r="N27" s="8" t="s">
        <v>1578</v>
      </c>
      <c r="O27" s="2">
        <f ca="1">DATEDIF(Addmisson[[#This Row],[Student_DOB]],TODAY(),"y")</f>
        <v>24</v>
      </c>
      <c r="P27" s="2" t="str">
        <f>TEXT(Addmisson[[#This Row],[Admission_Date]],"mmmm")</f>
        <v>February</v>
      </c>
      <c r="Q27" s="2">
        <f>YEAR(Addmisson[[#This Row],[Admission_Date]])</f>
        <v>2025</v>
      </c>
    </row>
    <row r="28" spans="1:17" x14ac:dyDescent="0.25">
      <c r="A28" s="7" t="s">
        <v>79</v>
      </c>
      <c r="B28" s="3">
        <v>45698</v>
      </c>
      <c r="C28" s="2" t="s">
        <v>80</v>
      </c>
      <c r="D28" s="2" t="s">
        <v>1088</v>
      </c>
      <c r="E28" s="3">
        <v>37937</v>
      </c>
      <c r="F28" s="2" t="s">
        <v>129</v>
      </c>
      <c r="G28" s="2" t="s">
        <v>129</v>
      </c>
      <c r="H28" s="2" t="s">
        <v>130</v>
      </c>
      <c r="I28" s="2" t="s">
        <v>20</v>
      </c>
      <c r="J28" s="2" t="s">
        <v>21</v>
      </c>
      <c r="K28" s="2" t="s">
        <v>1564</v>
      </c>
      <c r="L28" s="2" t="s">
        <v>1567</v>
      </c>
      <c r="M28" s="5" t="s">
        <v>1574</v>
      </c>
      <c r="N28" s="8" t="s">
        <v>1578</v>
      </c>
      <c r="O28" s="2">
        <f ca="1">DATEDIF(Addmisson[[#This Row],[Student_DOB]],TODAY(),"y")</f>
        <v>22</v>
      </c>
      <c r="P28" s="2" t="str">
        <f>TEXT(Addmisson[[#This Row],[Admission_Date]],"mmmm")</f>
        <v>February</v>
      </c>
      <c r="Q28" s="2">
        <f>YEAR(Addmisson[[#This Row],[Admission_Date]])</f>
        <v>2025</v>
      </c>
    </row>
    <row r="29" spans="1:17" x14ac:dyDescent="0.25">
      <c r="A29" s="7" t="s">
        <v>81</v>
      </c>
      <c r="B29" s="3">
        <v>45699</v>
      </c>
      <c r="C29" s="2" t="s">
        <v>82</v>
      </c>
      <c r="D29" s="2" t="s">
        <v>1089</v>
      </c>
      <c r="E29" s="3">
        <v>38116</v>
      </c>
      <c r="F29" s="2" t="s">
        <v>127</v>
      </c>
      <c r="G29" s="2" t="s">
        <v>127</v>
      </c>
      <c r="H29" s="2" t="s">
        <v>133</v>
      </c>
      <c r="I29" s="2" t="s">
        <v>24</v>
      </c>
      <c r="J29" s="2" t="s">
        <v>24</v>
      </c>
      <c r="K29" s="2" t="s">
        <v>1564</v>
      </c>
      <c r="L29" s="2" t="s">
        <v>1568</v>
      </c>
      <c r="M29" s="5" t="s">
        <v>1576</v>
      </c>
      <c r="N29" s="8" t="s">
        <v>1578</v>
      </c>
      <c r="O29" s="2">
        <f ca="1">DATEDIF(Addmisson[[#This Row],[Student_DOB]],TODAY(),"y")</f>
        <v>22</v>
      </c>
      <c r="P29" s="2" t="str">
        <f>TEXT(Addmisson[[#This Row],[Admission_Date]],"mmmm")</f>
        <v>February</v>
      </c>
      <c r="Q29" s="2">
        <f>YEAR(Addmisson[[#This Row],[Admission_Date]])</f>
        <v>2025</v>
      </c>
    </row>
    <row r="30" spans="1:17" x14ac:dyDescent="0.25">
      <c r="A30" s="7" t="s">
        <v>83</v>
      </c>
      <c r="B30" s="3">
        <v>45700</v>
      </c>
      <c r="C30" s="2" t="s">
        <v>84</v>
      </c>
      <c r="D30" s="2" t="s">
        <v>1090</v>
      </c>
      <c r="E30" s="3">
        <v>38407</v>
      </c>
      <c r="F30" s="2" t="s">
        <v>27</v>
      </c>
      <c r="G30" s="2" t="s">
        <v>27</v>
      </c>
      <c r="H30" s="2" t="s">
        <v>131</v>
      </c>
      <c r="I30" s="2" t="s">
        <v>28</v>
      </c>
      <c r="J30" s="2" t="s">
        <v>29</v>
      </c>
      <c r="K30" s="2" t="s">
        <v>1564</v>
      </c>
      <c r="L30" s="2" t="s">
        <v>1568</v>
      </c>
      <c r="M30" s="5" t="s">
        <v>1577</v>
      </c>
      <c r="N30" s="8" t="s">
        <v>1578</v>
      </c>
      <c r="O30" s="2">
        <f ca="1">DATEDIF(Addmisson[[#This Row],[Student_DOB]],TODAY(),"y")</f>
        <v>21</v>
      </c>
      <c r="P30" s="2" t="str">
        <f>TEXT(Addmisson[[#This Row],[Admission_Date]],"mmmm")</f>
        <v>February</v>
      </c>
      <c r="Q30" s="2">
        <f>YEAR(Addmisson[[#This Row],[Admission_Date]])</f>
        <v>2025</v>
      </c>
    </row>
    <row r="31" spans="1:17" x14ac:dyDescent="0.25">
      <c r="A31" s="7" t="s">
        <v>85</v>
      </c>
      <c r="B31" s="3">
        <v>45701</v>
      </c>
      <c r="C31" s="2" t="s">
        <v>86</v>
      </c>
      <c r="D31" s="2" t="s">
        <v>1091</v>
      </c>
      <c r="E31" s="3">
        <v>37880</v>
      </c>
      <c r="F31" s="2" t="s">
        <v>129</v>
      </c>
      <c r="G31" s="2" t="s">
        <v>129</v>
      </c>
      <c r="H31" s="2" t="s">
        <v>136</v>
      </c>
      <c r="I31" s="2" t="s">
        <v>33</v>
      </c>
      <c r="J31" s="2" t="s">
        <v>34</v>
      </c>
      <c r="K31" s="2" t="s">
        <v>1564</v>
      </c>
      <c r="L31" s="2" t="s">
        <v>1567</v>
      </c>
      <c r="M31" s="5" t="s">
        <v>1570</v>
      </c>
      <c r="N31" s="8" t="s">
        <v>1578</v>
      </c>
      <c r="O31" s="2">
        <f ca="1">DATEDIF(Addmisson[[#This Row],[Student_DOB]],TODAY(),"y")</f>
        <v>23</v>
      </c>
      <c r="P31" s="2" t="str">
        <f>TEXT(Addmisson[[#This Row],[Admission_Date]],"mmmm")</f>
        <v>February</v>
      </c>
      <c r="Q31" s="2">
        <f>YEAR(Addmisson[[#This Row],[Admission_Date]])</f>
        <v>2025</v>
      </c>
    </row>
    <row r="32" spans="1:17" x14ac:dyDescent="0.25">
      <c r="A32" s="7" t="s">
        <v>87</v>
      </c>
      <c r="B32" s="3">
        <v>45702</v>
      </c>
      <c r="C32" s="2" t="s">
        <v>88</v>
      </c>
      <c r="D32" s="2" t="s">
        <v>1092</v>
      </c>
      <c r="E32" s="3">
        <v>38006</v>
      </c>
      <c r="F32" s="2" t="s">
        <v>127</v>
      </c>
      <c r="G32" s="2" t="s">
        <v>127</v>
      </c>
      <c r="H32" s="2" t="s">
        <v>137</v>
      </c>
      <c r="I32" s="2" t="s">
        <v>42</v>
      </c>
      <c r="J32" s="2" t="s">
        <v>42</v>
      </c>
      <c r="K32" s="2" t="s">
        <v>1564</v>
      </c>
      <c r="L32" s="2" t="s">
        <v>1567</v>
      </c>
      <c r="M32" s="5" t="s">
        <v>1575</v>
      </c>
      <c r="N32" s="8" t="s">
        <v>1578</v>
      </c>
      <c r="O32" s="2">
        <f ca="1">DATEDIF(Addmisson[[#This Row],[Student_DOB]],TODAY(),"y")</f>
        <v>22</v>
      </c>
      <c r="P32" s="2" t="str">
        <f>TEXT(Addmisson[[#This Row],[Admission_Date]],"mmmm")</f>
        <v>February</v>
      </c>
      <c r="Q32" s="2">
        <f>YEAR(Addmisson[[#This Row],[Admission_Date]])</f>
        <v>2025</v>
      </c>
    </row>
    <row r="33" spans="1:17" x14ac:dyDescent="0.25">
      <c r="A33" s="7" t="s">
        <v>89</v>
      </c>
      <c r="B33" s="3">
        <v>45703</v>
      </c>
      <c r="C33" s="2" t="s">
        <v>90</v>
      </c>
      <c r="D33" s="2" t="s">
        <v>1093</v>
      </c>
      <c r="E33" s="3">
        <v>38818</v>
      </c>
      <c r="F33" s="2" t="s">
        <v>134</v>
      </c>
      <c r="G33" s="2" t="s">
        <v>134</v>
      </c>
      <c r="H33" s="2" t="s">
        <v>135</v>
      </c>
      <c r="I33" s="2" t="s">
        <v>37</v>
      </c>
      <c r="J33" s="2" t="s">
        <v>17</v>
      </c>
      <c r="K33" s="2" t="s">
        <v>1564</v>
      </c>
      <c r="L33" s="2" t="s">
        <v>1568</v>
      </c>
      <c r="M33" s="5" t="s">
        <v>1571</v>
      </c>
      <c r="N33" s="8" t="s">
        <v>1578</v>
      </c>
      <c r="O33" s="2">
        <f ca="1">DATEDIF(Addmisson[[#This Row],[Student_DOB]],TODAY(),"y")</f>
        <v>20</v>
      </c>
      <c r="P33" s="2" t="str">
        <f>TEXT(Addmisson[[#This Row],[Admission_Date]],"mmmm")</f>
        <v>February</v>
      </c>
      <c r="Q33" s="2">
        <f>YEAR(Addmisson[[#This Row],[Admission_Date]])</f>
        <v>2025</v>
      </c>
    </row>
    <row r="34" spans="1:17" x14ac:dyDescent="0.25">
      <c r="A34" s="7" t="s">
        <v>91</v>
      </c>
      <c r="B34" s="3">
        <v>45704</v>
      </c>
      <c r="C34" s="2" t="s">
        <v>92</v>
      </c>
      <c r="D34" s="2" t="s">
        <v>1094</v>
      </c>
      <c r="E34" s="3">
        <v>39239</v>
      </c>
      <c r="F34" s="2" t="s">
        <v>14</v>
      </c>
      <c r="G34" s="2" t="s">
        <v>14</v>
      </c>
      <c r="H34" s="2" t="s">
        <v>132</v>
      </c>
      <c r="I34" s="2" t="s">
        <v>20</v>
      </c>
      <c r="J34" s="2" t="s">
        <v>21</v>
      </c>
      <c r="K34" s="2" t="s">
        <v>1558</v>
      </c>
      <c r="L34" s="2" t="s">
        <v>1567</v>
      </c>
      <c r="M34" s="5" t="s">
        <v>1572</v>
      </c>
      <c r="N34" s="8" t="s">
        <v>1578</v>
      </c>
      <c r="O34" s="2">
        <f ca="1">DATEDIF(Addmisson[[#This Row],[Student_DOB]],TODAY(),"y")</f>
        <v>19</v>
      </c>
      <c r="P34" s="2" t="str">
        <f>TEXT(Addmisson[[#This Row],[Admission_Date]],"mmmm")</f>
        <v>February</v>
      </c>
      <c r="Q34" s="2">
        <f>YEAR(Addmisson[[#This Row],[Admission_Date]])</f>
        <v>2025</v>
      </c>
    </row>
    <row r="35" spans="1:17" x14ac:dyDescent="0.25">
      <c r="A35" s="7" t="s">
        <v>93</v>
      </c>
      <c r="B35" s="3">
        <v>45705</v>
      </c>
      <c r="C35" s="2" t="s">
        <v>94</v>
      </c>
      <c r="D35" s="2" t="s">
        <v>1095</v>
      </c>
      <c r="E35" s="3">
        <v>39861</v>
      </c>
      <c r="F35" s="2" t="s">
        <v>127</v>
      </c>
      <c r="G35" s="2" t="s">
        <v>127</v>
      </c>
      <c r="H35" s="2" t="s">
        <v>139</v>
      </c>
      <c r="I35" s="2" t="s">
        <v>24</v>
      </c>
      <c r="J35" s="2" t="s">
        <v>24</v>
      </c>
      <c r="K35" s="2" t="s">
        <v>1559</v>
      </c>
      <c r="L35" s="2" t="s">
        <v>1567</v>
      </c>
      <c r="M35" s="5" t="s">
        <v>1573</v>
      </c>
      <c r="N35" s="8" t="s">
        <v>1578</v>
      </c>
      <c r="O35" s="2">
        <f ca="1">DATEDIF(Addmisson[[#This Row],[Student_DOB]],TODAY(),"y")</f>
        <v>17</v>
      </c>
      <c r="P35" s="2" t="str">
        <f>TEXT(Addmisson[[#This Row],[Admission_Date]],"mmmm")</f>
        <v>February</v>
      </c>
      <c r="Q35" s="2">
        <f>YEAR(Addmisson[[#This Row],[Admission_Date]])</f>
        <v>2025</v>
      </c>
    </row>
    <row r="36" spans="1:17" x14ac:dyDescent="0.25">
      <c r="A36" s="7" t="s">
        <v>95</v>
      </c>
      <c r="B36" s="3">
        <v>45706</v>
      </c>
      <c r="C36" s="2" t="s">
        <v>96</v>
      </c>
      <c r="D36" s="2" t="s">
        <v>1096</v>
      </c>
      <c r="E36" s="3">
        <v>37984</v>
      </c>
      <c r="F36" s="2" t="s">
        <v>129</v>
      </c>
      <c r="G36" s="2" t="s">
        <v>129</v>
      </c>
      <c r="H36" s="2" t="s">
        <v>140</v>
      </c>
      <c r="I36" s="2" t="s">
        <v>28</v>
      </c>
      <c r="J36" s="2" t="s">
        <v>29</v>
      </c>
      <c r="K36" s="2" t="s">
        <v>1560</v>
      </c>
      <c r="L36" s="2" t="s">
        <v>1568</v>
      </c>
      <c r="M36" s="5" t="s">
        <v>1574</v>
      </c>
      <c r="N36" s="8" t="s">
        <v>1578</v>
      </c>
      <c r="O36" s="2">
        <f ca="1">DATEDIF(Addmisson[[#This Row],[Student_DOB]],TODAY(),"y")</f>
        <v>22</v>
      </c>
      <c r="P36" s="2" t="str">
        <f>TEXT(Addmisson[[#This Row],[Admission_Date]],"mmmm")</f>
        <v>February</v>
      </c>
      <c r="Q36" s="2">
        <f>YEAR(Addmisson[[#This Row],[Admission_Date]])</f>
        <v>2025</v>
      </c>
    </row>
    <row r="37" spans="1:17" x14ac:dyDescent="0.25">
      <c r="A37" s="7" t="s">
        <v>97</v>
      </c>
      <c r="B37" s="3">
        <v>45707</v>
      </c>
      <c r="C37" s="2" t="s">
        <v>98</v>
      </c>
      <c r="D37" s="2" t="s">
        <v>1097</v>
      </c>
      <c r="E37" s="3">
        <v>38419</v>
      </c>
      <c r="F37" s="2" t="s">
        <v>138</v>
      </c>
      <c r="G37" s="2" t="s">
        <v>138</v>
      </c>
      <c r="H37" s="2" t="s">
        <v>138</v>
      </c>
      <c r="I37" s="2" t="s">
        <v>33</v>
      </c>
      <c r="J37" s="2" t="s">
        <v>34</v>
      </c>
      <c r="K37" s="2" t="s">
        <v>1561</v>
      </c>
      <c r="L37" s="2" t="s">
        <v>1567</v>
      </c>
      <c r="M37" s="5" t="s">
        <v>1576</v>
      </c>
      <c r="N37" s="8" t="s">
        <v>1578</v>
      </c>
      <c r="O37" s="2">
        <f ca="1">DATEDIF(Addmisson[[#This Row],[Student_DOB]],TODAY(),"y")</f>
        <v>21</v>
      </c>
      <c r="P37" s="2" t="str">
        <f>TEXT(Addmisson[[#This Row],[Admission_Date]],"mmmm")</f>
        <v>February</v>
      </c>
      <c r="Q37" s="2">
        <f>YEAR(Addmisson[[#This Row],[Admission_Date]])</f>
        <v>2025</v>
      </c>
    </row>
    <row r="38" spans="1:17" x14ac:dyDescent="0.25">
      <c r="A38" s="7" t="s">
        <v>99</v>
      </c>
      <c r="B38" s="3">
        <v>45708</v>
      </c>
      <c r="C38" s="2" t="s">
        <v>100</v>
      </c>
      <c r="D38" s="2" t="s">
        <v>1098</v>
      </c>
      <c r="E38" s="3">
        <v>38182</v>
      </c>
      <c r="F38" s="2" t="s">
        <v>127</v>
      </c>
      <c r="G38" s="2" t="s">
        <v>127</v>
      </c>
      <c r="H38" s="2" t="s">
        <v>141</v>
      </c>
      <c r="I38" s="2" t="s">
        <v>16</v>
      </c>
      <c r="J38" s="2" t="s">
        <v>17</v>
      </c>
      <c r="K38" s="2" t="s">
        <v>1561</v>
      </c>
      <c r="L38" s="2" t="s">
        <v>1568</v>
      </c>
      <c r="M38" s="5" t="s">
        <v>1577</v>
      </c>
      <c r="N38" s="8" t="s">
        <v>1578</v>
      </c>
      <c r="O38" s="2">
        <f ca="1">DATEDIF(Addmisson[[#This Row],[Student_DOB]],TODAY(),"y")</f>
        <v>22</v>
      </c>
      <c r="P38" s="2" t="str">
        <f>TEXT(Addmisson[[#This Row],[Admission_Date]],"mmmm")</f>
        <v>February</v>
      </c>
      <c r="Q38" s="2">
        <f>YEAR(Addmisson[[#This Row],[Admission_Date]])</f>
        <v>2025</v>
      </c>
    </row>
    <row r="39" spans="1:17" x14ac:dyDescent="0.25">
      <c r="A39" s="7" t="s">
        <v>101</v>
      </c>
      <c r="B39" s="3">
        <v>45709</v>
      </c>
      <c r="C39" s="2" t="s">
        <v>102</v>
      </c>
      <c r="D39" s="2" t="s">
        <v>1099</v>
      </c>
      <c r="E39" s="3">
        <v>37763</v>
      </c>
      <c r="F39" s="2" t="s">
        <v>129</v>
      </c>
      <c r="G39" s="2" t="s">
        <v>129</v>
      </c>
      <c r="H39" s="2" t="s">
        <v>143</v>
      </c>
      <c r="I39" s="2" t="s">
        <v>20</v>
      </c>
      <c r="J39" s="2" t="s">
        <v>21</v>
      </c>
      <c r="K39" s="2" t="s">
        <v>1561</v>
      </c>
      <c r="L39" s="2" t="s">
        <v>1568</v>
      </c>
      <c r="M39" s="5" t="s">
        <v>1570</v>
      </c>
      <c r="N39" s="8" t="s">
        <v>1578</v>
      </c>
      <c r="O39" s="2">
        <f ca="1">DATEDIF(Addmisson[[#This Row],[Student_DOB]],TODAY(),"y")</f>
        <v>23</v>
      </c>
      <c r="P39" s="2" t="str">
        <f>TEXT(Addmisson[[#This Row],[Admission_Date]],"mmmm")</f>
        <v>February</v>
      </c>
      <c r="Q39" s="2">
        <f>YEAR(Addmisson[[#This Row],[Admission_Date]])</f>
        <v>2025</v>
      </c>
    </row>
    <row r="40" spans="1:17" x14ac:dyDescent="0.25">
      <c r="A40" s="7" t="s">
        <v>103</v>
      </c>
      <c r="B40" s="3">
        <v>45710</v>
      </c>
      <c r="C40" s="2" t="s">
        <v>104</v>
      </c>
      <c r="D40" s="2" t="s">
        <v>1100</v>
      </c>
      <c r="E40" s="3">
        <v>38604</v>
      </c>
      <c r="F40" s="2" t="s">
        <v>14</v>
      </c>
      <c r="G40" s="2" t="s">
        <v>14</v>
      </c>
      <c r="H40" s="2" t="s">
        <v>15</v>
      </c>
      <c r="I40" s="2" t="s">
        <v>42</v>
      </c>
      <c r="J40" s="2" t="s">
        <v>42</v>
      </c>
      <c r="K40" s="2" t="s">
        <v>1561</v>
      </c>
      <c r="L40" s="2" t="s">
        <v>1567</v>
      </c>
      <c r="M40" s="5" t="s">
        <v>1575</v>
      </c>
      <c r="N40" s="8" t="s">
        <v>1578</v>
      </c>
      <c r="O40" s="2">
        <f ca="1">DATEDIF(Addmisson[[#This Row],[Student_DOB]],TODAY(),"y")</f>
        <v>21</v>
      </c>
      <c r="P40" s="2" t="str">
        <f>TEXT(Addmisson[[#This Row],[Admission_Date]],"mmmm")</f>
        <v>February</v>
      </c>
      <c r="Q40" s="2">
        <f>YEAR(Addmisson[[#This Row],[Admission_Date]])</f>
        <v>2025</v>
      </c>
    </row>
    <row r="41" spans="1:17" x14ac:dyDescent="0.25">
      <c r="A41" s="7" t="s">
        <v>105</v>
      </c>
      <c r="B41" s="3">
        <v>45711</v>
      </c>
      <c r="C41" s="2" t="s">
        <v>106</v>
      </c>
      <c r="D41" s="2" t="s">
        <v>1101</v>
      </c>
      <c r="E41" s="3">
        <v>37555</v>
      </c>
      <c r="F41" s="2" t="s">
        <v>145</v>
      </c>
      <c r="G41" s="2" t="s">
        <v>145</v>
      </c>
      <c r="H41" s="2" t="s">
        <v>145</v>
      </c>
      <c r="I41" s="2" t="s">
        <v>28</v>
      </c>
      <c r="J41" s="2" t="s">
        <v>29</v>
      </c>
      <c r="K41" s="2" t="s">
        <v>1561</v>
      </c>
      <c r="L41" s="2" t="s">
        <v>1567</v>
      </c>
      <c r="M41" s="5" t="s">
        <v>1571</v>
      </c>
      <c r="N41" s="8" t="s">
        <v>1578</v>
      </c>
      <c r="O41" s="2">
        <f ca="1">DATEDIF(Addmisson[[#This Row],[Student_DOB]],TODAY(),"y")</f>
        <v>23</v>
      </c>
      <c r="P41" s="2" t="str">
        <f>TEXT(Addmisson[[#This Row],[Admission_Date]],"mmmm")</f>
        <v>February</v>
      </c>
      <c r="Q41" s="2">
        <f>YEAR(Addmisson[[#This Row],[Admission_Date]])</f>
        <v>2025</v>
      </c>
    </row>
    <row r="42" spans="1:17" x14ac:dyDescent="0.25">
      <c r="A42" s="7" t="s">
        <v>107</v>
      </c>
      <c r="B42" s="3">
        <v>45712</v>
      </c>
      <c r="C42" s="2" t="s">
        <v>108</v>
      </c>
      <c r="D42" s="2" t="s">
        <v>1102</v>
      </c>
      <c r="E42" s="3">
        <v>38460</v>
      </c>
      <c r="F42" s="2" t="s">
        <v>127</v>
      </c>
      <c r="G42" s="2" t="s">
        <v>127</v>
      </c>
      <c r="H42" s="2" t="s">
        <v>144</v>
      </c>
      <c r="I42" s="2" t="s">
        <v>16</v>
      </c>
      <c r="J42" s="2" t="s">
        <v>17</v>
      </c>
      <c r="K42" s="2" t="s">
        <v>1561</v>
      </c>
      <c r="L42" s="2" t="s">
        <v>1568</v>
      </c>
      <c r="M42" s="5" t="s">
        <v>1572</v>
      </c>
      <c r="N42" s="8" t="s">
        <v>1578</v>
      </c>
      <c r="O42" s="2">
        <f ca="1">DATEDIF(Addmisson[[#This Row],[Student_DOB]],TODAY(),"y")</f>
        <v>21</v>
      </c>
      <c r="P42" s="2" t="str">
        <f>TEXT(Addmisson[[#This Row],[Admission_Date]],"mmmm")</f>
        <v>February</v>
      </c>
      <c r="Q42" s="2">
        <f>YEAR(Addmisson[[#This Row],[Admission_Date]])</f>
        <v>2025</v>
      </c>
    </row>
    <row r="43" spans="1:17" x14ac:dyDescent="0.25">
      <c r="A43" s="7" t="s">
        <v>109</v>
      </c>
      <c r="B43" s="3">
        <v>45713</v>
      </c>
      <c r="C43" s="2" t="s">
        <v>110</v>
      </c>
      <c r="D43" s="2" t="s">
        <v>1103</v>
      </c>
      <c r="E43" s="3">
        <v>38204</v>
      </c>
      <c r="F43" s="2" t="s">
        <v>129</v>
      </c>
      <c r="G43" s="2" t="s">
        <v>129</v>
      </c>
      <c r="H43" s="2" t="s">
        <v>147</v>
      </c>
      <c r="I43" s="2" t="s">
        <v>20</v>
      </c>
      <c r="J43" s="2" t="s">
        <v>21</v>
      </c>
      <c r="K43" s="2" t="s">
        <v>1561</v>
      </c>
      <c r="L43" s="2" t="s">
        <v>1567</v>
      </c>
      <c r="M43" s="5" t="s">
        <v>1573</v>
      </c>
      <c r="N43" s="8" t="s">
        <v>1578</v>
      </c>
      <c r="O43" s="2">
        <f ca="1">DATEDIF(Addmisson[[#This Row],[Student_DOB]],TODAY(),"y")</f>
        <v>22</v>
      </c>
      <c r="P43" s="2" t="str">
        <f>TEXT(Addmisson[[#This Row],[Admission_Date]],"mmmm")</f>
        <v>February</v>
      </c>
      <c r="Q43" s="2">
        <f>YEAR(Addmisson[[#This Row],[Admission_Date]])</f>
        <v>2025</v>
      </c>
    </row>
    <row r="44" spans="1:17" x14ac:dyDescent="0.25">
      <c r="A44" s="7" t="s">
        <v>111</v>
      </c>
      <c r="B44" s="3">
        <v>45714</v>
      </c>
      <c r="C44" s="2" t="s">
        <v>112</v>
      </c>
      <c r="D44" s="2" t="s">
        <v>1104</v>
      </c>
      <c r="E44" s="3">
        <v>38705</v>
      </c>
      <c r="F44" s="2" t="s">
        <v>27</v>
      </c>
      <c r="G44" s="2" t="s">
        <v>27</v>
      </c>
      <c r="H44" s="2" t="s">
        <v>131</v>
      </c>
      <c r="I44" s="2" t="s">
        <v>24</v>
      </c>
      <c r="J44" s="2" t="s">
        <v>24</v>
      </c>
      <c r="K44" s="2" t="s">
        <v>1560</v>
      </c>
      <c r="L44" s="2" t="s">
        <v>1567</v>
      </c>
      <c r="M44" s="5" t="s">
        <v>1570</v>
      </c>
      <c r="N44" s="8" t="s">
        <v>1578</v>
      </c>
      <c r="O44" s="2">
        <f ca="1">DATEDIF(Addmisson[[#This Row],[Student_DOB]],TODAY(),"y")</f>
        <v>20</v>
      </c>
      <c r="P44" s="2" t="str">
        <f>TEXT(Addmisson[[#This Row],[Admission_Date]],"mmmm")</f>
        <v>February</v>
      </c>
      <c r="Q44" s="2">
        <f>YEAR(Addmisson[[#This Row],[Admission_Date]])</f>
        <v>2025</v>
      </c>
    </row>
    <row r="45" spans="1:17" x14ac:dyDescent="0.25">
      <c r="A45" s="7" t="s">
        <v>113</v>
      </c>
      <c r="B45" s="3">
        <v>45715</v>
      </c>
      <c r="C45" s="2" t="s">
        <v>114</v>
      </c>
      <c r="D45" s="2" t="s">
        <v>1105</v>
      </c>
      <c r="E45" s="3">
        <v>38073</v>
      </c>
      <c r="F45" s="2" t="s">
        <v>127</v>
      </c>
      <c r="G45" s="2" t="s">
        <v>127</v>
      </c>
      <c r="H45" s="2" t="s">
        <v>146</v>
      </c>
      <c r="I45" s="2" t="s">
        <v>28</v>
      </c>
      <c r="J45" s="2" t="s">
        <v>29</v>
      </c>
      <c r="K45" s="2" t="s">
        <v>1561</v>
      </c>
      <c r="L45" s="2" t="s">
        <v>1568</v>
      </c>
      <c r="M45" s="5" t="s">
        <v>1575</v>
      </c>
      <c r="N45" s="8" t="s">
        <v>1578</v>
      </c>
      <c r="O45" s="2">
        <f ca="1">DATEDIF(Addmisson[[#This Row],[Student_DOB]],TODAY(),"y")</f>
        <v>22</v>
      </c>
      <c r="P45" s="2" t="str">
        <f>TEXT(Addmisson[[#This Row],[Admission_Date]],"mmmm")</f>
        <v>February</v>
      </c>
      <c r="Q45" s="2">
        <f>YEAR(Addmisson[[#This Row],[Admission_Date]])</f>
        <v>2025</v>
      </c>
    </row>
    <row r="46" spans="1:17" x14ac:dyDescent="0.25">
      <c r="A46" s="7" t="s">
        <v>115</v>
      </c>
      <c r="B46" s="3">
        <v>45716</v>
      </c>
      <c r="C46" s="2" t="s">
        <v>116</v>
      </c>
      <c r="D46" s="2" t="s">
        <v>1106</v>
      </c>
      <c r="E46" s="3">
        <v>38516</v>
      </c>
      <c r="F46" s="2" t="s">
        <v>142</v>
      </c>
      <c r="G46" s="2" t="s">
        <v>142</v>
      </c>
      <c r="H46" s="2" t="s">
        <v>142</v>
      </c>
      <c r="I46" s="2" t="s">
        <v>33</v>
      </c>
      <c r="J46" s="2" t="s">
        <v>34</v>
      </c>
      <c r="K46" s="2" t="s">
        <v>1562</v>
      </c>
      <c r="L46" s="2" t="s">
        <v>1567</v>
      </c>
      <c r="M46" s="5" t="s">
        <v>1571</v>
      </c>
      <c r="N46" s="8" t="s">
        <v>1578</v>
      </c>
      <c r="O46" s="2">
        <f ca="1">DATEDIF(Addmisson[[#This Row],[Student_DOB]],TODAY(),"y")</f>
        <v>21</v>
      </c>
      <c r="P46" s="2" t="str">
        <f>TEXT(Addmisson[[#This Row],[Admission_Date]],"mmmm")</f>
        <v>February</v>
      </c>
      <c r="Q46" s="2">
        <f>YEAR(Addmisson[[#This Row],[Admission_Date]])</f>
        <v>2025</v>
      </c>
    </row>
    <row r="47" spans="1:17" x14ac:dyDescent="0.25">
      <c r="A47" s="7" t="s">
        <v>117</v>
      </c>
      <c r="B47" s="3">
        <v>45717</v>
      </c>
      <c r="C47" s="2" t="s">
        <v>118</v>
      </c>
      <c r="D47" s="2" t="s">
        <v>1107</v>
      </c>
      <c r="E47" s="3">
        <v>38019</v>
      </c>
      <c r="F47" s="2" t="s">
        <v>129</v>
      </c>
      <c r="G47" s="2" t="s">
        <v>129</v>
      </c>
      <c r="H47" s="2" t="s">
        <v>130</v>
      </c>
      <c r="I47" s="2" t="s">
        <v>37</v>
      </c>
      <c r="J47" s="2" t="s">
        <v>17</v>
      </c>
      <c r="K47" s="2" t="s">
        <v>1562</v>
      </c>
      <c r="L47" s="2" t="s">
        <v>1567</v>
      </c>
      <c r="M47" s="5" t="s">
        <v>1572</v>
      </c>
      <c r="N47" s="8" t="s">
        <v>1578</v>
      </c>
      <c r="O47" s="2">
        <f ca="1">DATEDIF(Addmisson[[#This Row],[Student_DOB]],TODAY(),"y")</f>
        <v>22</v>
      </c>
      <c r="P47" s="2" t="str">
        <f>TEXT(Addmisson[[#This Row],[Admission_Date]],"mmmm")</f>
        <v>March</v>
      </c>
      <c r="Q47" s="2">
        <f>YEAR(Addmisson[[#This Row],[Admission_Date]])</f>
        <v>2025</v>
      </c>
    </row>
    <row r="48" spans="1:17" x14ac:dyDescent="0.25">
      <c r="A48" s="7" t="s">
        <v>119</v>
      </c>
      <c r="B48" s="3">
        <v>45718</v>
      </c>
      <c r="C48" s="2" t="s">
        <v>120</v>
      </c>
      <c r="D48" s="2" t="s">
        <v>1108</v>
      </c>
      <c r="E48" s="3">
        <v>38620</v>
      </c>
      <c r="F48" s="2" t="s">
        <v>127</v>
      </c>
      <c r="G48" s="2" t="s">
        <v>127</v>
      </c>
      <c r="H48" s="2" t="s">
        <v>128</v>
      </c>
      <c r="I48" s="2" t="s">
        <v>20</v>
      </c>
      <c r="J48" s="2" t="s">
        <v>21</v>
      </c>
      <c r="K48" s="2" t="s">
        <v>1562</v>
      </c>
      <c r="L48" s="2" t="s">
        <v>1568</v>
      </c>
      <c r="M48" s="5" t="s">
        <v>1573</v>
      </c>
      <c r="N48" s="8" t="s">
        <v>1578</v>
      </c>
      <c r="O48" s="2">
        <f ca="1">DATEDIF(Addmisson[[#This Row],[Student_DOB]],TODAY(),"y")</f>
        <v>21</v>
      </c>
      <c r="P48" s="2" t="str">
        <f>TEXT(Addmisson[[#This Row],[Admission_Date]],"mmmm")</f>
        <v>March</v>
      </c>
      <c r="Q48" s="2">
        <f>YEAR(Addmisson[[#This Row],[Admission_Date]])</f>
        <v>2025</v>
      </c>
    </row>
    <row r="49" spans="1:17" x14ac:dyDescent="0.25">
      <c r="A49" s="7" t="s">
        <v>121</v>
      </c>
      <c r="B49" s="3">
        <v>45719</v>
      </c>
      <c r="C49" s="2" t="s">
        <v>122</v>
      </c>
      <c r="D49" s="2" t="s">
        <v>1109</v>
      </c>
      <c r="E49" s="3">
        <v>37936</v>
      </c>
      <c r="F49" s="2" t="s">
        <v>148</v>
      </c>
      <c r="G49" s="2" t="s">
        <v>148</v>
      </c>
      <c r="H49" s="2" t="s">
        <v>148</v>
      </c>
      <c r="I49" s="2" t="s">
        <v>42</v>
      </c>
      <c r="J49" s="2" t="s">
        <v>42</v>
      </c>
      <c r="K49" s="2" t="s">
        <v>1562</v>
      </c>
      <c r="L49" s="2" t="s">
        <v>1567</v>
      </c>
      <c r="M49" s="5" t="s">
        <v>1574</v>
      </c>
      <c r="N49" s="8" t="s">
        <v>1578</v>
      </c>
      <c r="O49" s="2">
        <f ca="1">DATEDIF(Addmisson[[#This Row],[Student_DOB]],TODAY(),"y")</f>
        <v>22</v>
      </c>
      <c r="P49" s="2" t="str">
        <f>TEXT(Addmisson[[#This Row],[Admission_Date]],"mmmm")</f>
        <v>March</v>
      </c>
      <c r="Q49" s="2">
        <f>YEAR(Addmisson[[#This Row],[Admission_Date]])</f>
        <v>2025</v>
      </c>
    </row>
    <row r="50" spans="1:17" x14ac:dyDescent="0.25">
      <c r="A50" s="7" t="s">
        <v>123</v>
      </c>
      <c r="B50" s="3">
        <v>45720</v>
      </c>
      <c r="C50" s="2" t="s">
        <v>124</v>
      </c>
      <c r="D50" s="2" t="s">
        <v>1110</v>
      </c>
      <c r="E50" s="3">
        <v>38360</v>
      </c>
      <c r="F50" s="2" t="s">
        <v>14</v>
      </c>
      <c r="G50" s="2" t="s">
        <v>14</v>
      </c>
      <c r="H50" s="2" t="s">
        <v>132</v>
      </c>
      <c r="I50" s="2" t="s">
        <v>28</v>
      </c>
      <c r="J50" s="2" t="s">
        <v>29</v>
      </c>
      <c r="K50" s="2" t="s">
        <v>1562</v>
      </c>
      <c r="L50" s="2" t="s">
        <v>1568</v>
      </c>
      <c r="M50" s="5" t="s">
        <v>1576</v>
      </c>
      <c r="N50" s="8" t="s">
        <v>1578</v>
      </c>
      <c r="O50" s="2">
        <f ca="1">DATEDIF(Addmisson[[#This Row],[Student_DOB]],TODAY(),"y")</f>
        <v>21</v>
      </c>
      <c r="P50" s="2" t="str">
        <f>TEXT(Addmisson[[#This Row],[Admission_Date]],"mmmm")</f>
        <v>March</v>
      </c>
      <c r="Q50" s="2">
        <f>YEAR(Addmisson[[#This Row],[Admission_Date]])</f>
        <v>2025</v>
      </c>
    </row>
    <row r="51" spans="1:17" x14ac:dyDescent="0.25">
      <c r="A51" s="7" t="s">
        <v>125</v>
      </c>
      <c r="B51" s="3">
        <v>45721</v>
      </c>
      <c r="C51" s="2" t="s">
        <v>126</v>
      </c>
      <c r="D51" s="2" t="s">
        <v>1111</v>
      </c>
      <c r="E51" s="3">
        <v>39963</v>
      </c>
      <c r="F51" s="2" t="s">
        <v>127</v>
      </c>
      <c r="G51" s="2" t="s">
        <v>127</v>
      </c>
      <c r="H51" s="2" t="s">
        <v>133</v>
      </c>
      <c r="I51" s="2" t="s">
        <v>16</v>
      </c>
      <c r="J51" s="2" t="s">
        <v>17</v>
      </c>
      <c r="K51" s="2" t="s">
        <v>1562</v>
      </c>
      <c r="L51" s="2" t="s">
        <v>1568</v>
      </c>
      <c r="M51" s="5" t="s">
        <v>1577</v>
      </c>
      <c r="N51" s="8" t="s">
        <v>1578</v>
      </c>
      <c r="O51" s="2">
        <f ca="1">DATEDIF(Addmisson[[#This Row],[Student_DOB]],TODAY(),"y")</f>
        <v>17</v>
      </c>
      <c r="P51" s="2" t="str">
        <f>TEXT(Addmisson[[#This Row],[Admission_Date]],"mmmm")</f>
        <v>March</v>
      </c>
      <c r="Q51" s="2">
        <f>YEAR(Addmisson[[#This Row],[Admission_Date]])</f>
        <v>2025</v>
      </c>
    </row>
    <row r="52" spans="1:17" x14ac:dyDescent="0.25">
      <c r="A52" s="7" t="s">
        <v>149</v>
      </c>
      <c r="B52" s="3">
        <v>45722</v>
      </c>
      <c r="C52" s="2" t="s">
        <v>598</v>
      </c>
      <c r="D52" s="2" t="s">
        <v>1112</v>
      </c>
      <c r="E52" s="3">
        <v>38333</v>
      </c>
      <c r="F52" s="2" t="s">
        <v>138</v>
      </c>
      <c r="G52" s="2" t="s">
        <v>138</v>
      </c>
      <c r="H52" s="2" t="s">
        <v>138</v>
      </c>
      <c r="I52" s="2" t="s">
        <v>16</v>
      </c>
      <c r="J52" s="2" t="s">
        <v>17</v>
      </c>
      <c r="K52" s="2" t="s">
        <v>1562</v>
      </c>
      <c r="L52" s="2" t="s">
        <v>1567</v>
      </c>
      <c r="M52" s="5" t="s">
        <v>1570</v>
      </c>
      <c r="N52" s="8" t="s">
        <v>1578</v>
      </c>
      <c r="O52" s="2">
        <f ca="1">DATEDIF(Addmisson[[#This Row],[Student_DOB]],TODAY(),"y")</f>
        <v>21</v>
      </c>
      <c r="P52" s="2" t="str">
        <f>TEXT(Addmisson[[#This Row],[Admission_Date]],"mmmm")</f>
        <v>March</v>
      </c>
      <c r="Q52" s="2">
        <f>YEAR(Addmisson[[#This Row],[Admission_Date]])</f>
        <v>2025</v>
      </c>
    </row>
    <row r="53" spans="1:17" x14ac:dyDescent="0.25">
      <c r="A53" s="7" t="s">
        <v>150</v>
      </c>
      <c r="B53" s="3">
        <v>45723</v>
      </c>
      <c r="C53" s="2" t="s">
        <v>599</v>
      </c>
      <c r="D53" s="2" t="s">
        <v>1113</v>
      </c>
      <c r="E53" s="3">
        <v>38031</v>
      </c>
      <c r="F53" s="2" t="s">
        <v>127</v>
      </c>
      <c r="G53" s="2" t="s">
        <v>127</v>
      </c>
      <c r="H53" s="2" t="s">
        <v>141</v>
      </c>
      <c r="I53" s="2" t="s">
        <v>1047</v>
      </c>
      <c r="J53" s="2" t="s">
        <v>1048</v>
      </c>
      <c r="K53" s="2" t="s">
        <v>1562</v>
      </c>
      <c r="L53" s="2" t="s">
        <v>1567</v>
      </c>
      <c r="M53" s="5" t="s">
        <v>1575</v>
      </c>
      <c r="N53" s="8" t="s">
        <v>1578</v>
      </c>
      <c r="O53" s="2">
        <f ca="1">DATEDIF(Addmisson[[#This Row],[Student_DOB]],TODAY(),"y")</f>
        <v>22</v>
      </c>
      <c r="P53" s="2" t="str">
        <f>TEXT(Addmisson[[#This Row],[Admission_Date]],"mmmm")</f>
        <v>March</v>
      </c>
      <c r="Q53" s="2">
        <f>YEAR(Addmisson[[#This Row],[Admission_Date]])</f>
        <v>2025</v>
      </c>
    </row>
    <row r="54" spans="1:17" x14ac:dyDescent="0.25">
      <c r="A54" s="7" t="s">
        <v>151</v>
      </c>
      <c r="B54" s="3">
        <v>45724</v>
      </c>
      <c r="C54" s="2" t="s">
        <v>600</v>
      </c>
      <c r="D54" s="2" t="s">
        <v>1114</v>
      </c>
      <c r="E54" s="3">
        <v>38556</v>
      </c>
      <c r="F54" s="2" t="s">
        <v>129</v>
      </c>
      <c r="G54" s="2" t="s">
        <v>129</v>
      </c>
      <c r="H54" s="2" t="s">
        <v>143</v>
      </c>
      <c r="I54" s="2" t="s">
        <v>1049</v>
      </c>
      <c r="J54" s="2" t="s">
        <v>1050</v>
      </c>
      <c r="K54" s="2" t="s">
        <v>1562</v>
      </c>
      <c r="L54" s="2" t="s">
        <v>1567</v>
      </c>
      <c r="M54" s="5" t="s">
        <v>1571</v>
      </c>
      <c r="N54" s="8" t="s">
        <v>1578</v>
      </c>
      <c r="O54" s="2">
        <f ca="1">DATEDIF(Addmisson[[#This Row],[Student_DOB]],TODAY(),"y")</f>
        <v>21</v>
      </c>
      <c r="P54" s="2" t="str">
        <f>TEXT(Addmisson[[#This Row],[Admission_Date]],"mmmm")</f>
        <v>March</v>
      </c>
      <c r="Q54" s="2">
        <f>YEAR(Addmisson[[#This Row],[Admission_Date]])</f>
        <v>2025</v>
      </c>
    </row>
    <row r="55" spans="1:17" x14ac:dyDescent="0.25">
      <c r="A55" s="7" t="s">
        <v>152</v>
      </c>
      <c r="B55" s="3">
        <v>45725</v>
      </c>
      <c r="C55" s="2" t="s">
        <v>601</v>
      </c>
      <c r="D55" s="2" t="s">
        <v>1115</v>
      </c>
      <c r="E55" s="3">
        <v>38299</v>
      </c>
      <c r="F55" s="2" t="s">
        <v>14</v>
      </c>
      <c r="G55" s="2" t="s">
        <v>14</v>
      </c>
      <c r="H55" s="2" t="s">
        <v>15</v>
      </c>
      <c r="I55" s="2" t="s">
        <v>1051</v>
      </c>
      <c r="J55" s="2" t="s">
        <v>1052</v>
      </c>
      <c r="K55" s="2" t="s">
        <v>1562</v>
      </c>
      <c r="L55" s="2" t="s">
        <v>1567</v>
      </c>
      <c r="M55" s="5" t="s">
        <v>1572</v>
      </c>
      <c r="N55" s="8" t="s">
        <v>1578</v>
      </c>
      <c r="O55" s="2">
        <f ca="1">DATEDIF(Addmisson[[#This Row],[Student_DOB]],TODAY(),"y")</f>
        <v>21</v>
      </c>
      <c r="P55" s="2" t="str">
        <f>TEXT(Addmisson[[#This Row],[Admission_Date]],"mmmm")</f>
        <v>March</v>
      </c>
      <c r="Q55" s="2">
        <f>YEAR(Addmisson[[#This Row],[Admission_Date]])</f>
        <v>2025</v>
      </c>
    </row>
    <row r="56" spans="1:17" x14ac:dyDescent="0.25">
      <c r="A56" s="7" t="s">
        <v>153</v>
      </c>
      <c r="B56" s="3">
        <v>45726</v>
      </c>
      <c r="C56" s="2" t="s">
        <v>602</v>
      </c>
      <c r="D56" s="2" t="s">
        <v>1116</v>
      </c>
      <c r="E56" s="3">
        <v>38461</v>
      </c>
      <c r="F56" s="2" t="s">
        <v>145</v>
      </c>
      <c r="G56" s="2" t="s">
        <v>145</v>
      </c>
      <c r="H56" s="2" t="s">
        <v>145</v>
      </c>
      <c r="I56" s="2" t="s">
        <v>1053</v>
      </c>
      <c r="J56" s="2" t="s">
        <v>1052</v>
      </c>
      <c r="K56" s="2" t="s">
        <v>1562</v>
      </c>
      <c r="L56" s="2" t="s">
        <v>1567</v>
      </c>
      <c r="M56" s="5" t="s">
        <v>1573</v>
      </c>
      <c r="N56" s="8" t="s">
        <v>1578</v>
      </c>
      <c r="O56" s="2">
        <f ca="1">DATEDIF(Addmisson[[#This Row],[Student_DOB]],TODAY(),"y")</f>
        <v>21</v>
      </c>
      <c r="P56" s="2" t="str">
        <f>TEXT(Addmisson[[#This Row],[Admission_Date]],"mmmm")</f>
        <v>March</v>
      </c>
      <c r="Q56" s="2">
        <f>YEAR(Addmisson[[#This Row],[Admission_Date]])</f>
        <v>2025</v>
      </c>
    </row>
    <row r="57" spans="1:17" x14ac:dyDescent="0.25">
      <c r="A57" s="7" t="s">
        <v>154</v>
      </c>
      <c r="B57" s="3">
        <v>45727</v>
      </c>
      <c r="C57" s="2" t="s">
        <v>603</v>
      </c>
      <c r="D57" s="2" t="s">
        <v>1117</v>
      </c>
      <c r="E57" s="3">
        <v>38257</v>
      </c>
      <c r="F57" s="2" t="s">
        <v>127</v>
      </c>
      <c r="G57" s="2" t="s">
        <v>127</v>
      </c>
      <c r="H57" s="2" t="s">
        <v>144</v>
      </c>
      <c r="I57" s="2" t="s">
        <v>1054</v>
      </c>
      <c r="J57" s="2" t="s">
        <v>1052</v>
      </c>
      <c r="K57" s="2" t="s">
        <v>1562</v>
      </c>
      <c r="L57" s="2" t="s">
        <v>1567</v>
      </c>
      <c r="M57" s="5" t="s">
        <v>1574</v>
      </c>
      <c r="N57" s="8" t="s">
        <v>1578</v>
      </c>
      <c r="O57" s="2">
        <f ca="1">DATEDIF(Addmisson[[#This Row],[Student_DOB]],TODAY(),"y")</f>
        <v>22</v>
      </c>
      <c r="P57" s="2" t="str">
        <f>TEXT(Addmisson[[#This Row],[Admission_Date]],"mmmm")</f>
        <v>March</v>
      </c>
      <c r="Q57" s="2">
        <f>YEAR(Addmisson[[#This Row],[Admission_Date]])</f>
        <v>2025</v>
      </c>
    </row>
    <row r="58" spans="1:17" x14ac:dyDescent="0.25">
      <c r="A58" s="7" t="s">
        <v>155</v>
      </c>
      <c r="B58" s="3">
        <v>45728</v>
      </c>
      <c r="C58" s="2" t="s">
        <v>604</v>
      </c>
      <c r="D58" s="2" t="s">
        <v>1118</v>
      </c>
      <c r="E58" s="3">
        <v>38357</v>
      </c>
      <c r="F58" s="2" t="s">
        <v>129</v>
      </c>
      <c r="G58" s="2" t="s">
        <v>129</v>
      </c>
      <c r="H58" s="2" t="s">
        <v>147</v>
      </c>
      <c r="I58" s="2" t="s">
        <v>1055</v>
      </c>
      <c r="J58" s="2" t="s">
        <v>1055</v>
      </c>
      <c r="K58" s="2" t="s">
        <v>1562</v>
      </c>
      <c r="L58" s="2" t="s">
        <v>1567</v>
      </c>
      <c r="M58" s="5" t="s">
        <v>1576</v>
      </c>
      <c r="N58" s="8" t="s">
        <v>1578</v>
      </c>
      <c r="O58" s="2">
        <f ca="1">DATEDIF(Addmisson[[#This Row],[Student_DOB]],TODAY(),"y")</f>
        <v>21</v>
      </c>
      <c r="P58" s="2" t="str">
        <f>TEXT(Addmisson[[#This Row],[Admission_Date]],"mmmm")</f>
        <v>March</v>
      </c>
      <c r="Q58" s="2">
        <f>YEAR(Addmisson[[#This Row],[Admission_Date]])</f>
        <v>2025</v>
      </c>
    </row>
    <row r="59" spans="1:17" x14ac:dyDescent="0.25">
      <c r="A59" s="7" t="s">
        <v>156</v>
      </c>
      <c r="B59" s="3">
        <v>45729</v>
      </c>
      <c r="C59" s="2" t="s">
        <v>605</v>
      </c>
      <c r="D59" s="2" t="s">
        <v>1119</v>
      </c>
      <c r="E59" s="3">
        <v>38154</v>
      </c>
      <c r="F59" s="2" t="s">
        <v>27</v>
      </c>
      <c r="G59" s="2" t="s">
        <v>27</v>
      </c>
      <c r="H59" s="2" t="s">
        <v>131</v>
      </c>
      <c r="I59" s="2" t="s">
        <v>16</v>
      </c>
      <c r="J59" s="2" t="s">
        <v>1056</v>
      </c>
      <c r="K59" s="2" t="s">
        <v>1562</v>
      </c>
      <c r="L59" s="2" t="s">
        <v>1567</v>
      </c>
      <c r="M59" s="5" t="s">
        <v>1577</v>
      </c>
      <c r="N59" s="8" t="s">
        <v>1578</v>
      </c>
      <c r="O59" s="2">
        <f ca="1">DATEDIF(Addmisson[[#This Row],[Student_DOB]],TODAY(),"y")</f>
        <v>22</v>
      </c>
      <c r="P59" s="2" t="str">
        <f>TEXT(Addmisson[[#This Row],[Admission_Date]],"mmmm")</f>
        <v>March</v>
      </c>
      <c r="Q59" s="2">
        <f>YEAR(Addmisson[[#This Row],[Admission_Date]])</f>
        <v>2025</v>
      </c>
    </row>
    <row r="60" spans="1:17" x14ac:dyDescent="0.25">
      <c r="A60" s="7" t="s">
        <v>157</v>
      </c>
      <c r="B60" s="3">
        <v>45730</v>
      </c>
      <c r="C60" s="2" t="s">
        <v>606</v>
      </c>
      <c r="D60" s="2" t="s">
        <v>1120</v>
      </c>
      <c r="E60" s="3">
        <v>39081</v>
      </c>
      <c r="F60" s="2" t="s">
        <v>127</v>
      </c>
      <c r="G60" s="2" t="s">
        <v>127</v>
      </c>
      <c r="H60" s="2" t="s">
        <v>146</v>
      </c>
      <c r="I60" s="2" t="s">
        <v>1057</v>
      </c>
      <c r="J60" s="2" t="s">
        <v>1058</v>
      </c>
      <c r="K60" s="2" t="s">
        <v>1562</v>
      </c>
      <c r="L60" s="2" t="s">
        <v>1567</v>
      </c>
      <c r="M60" s="5" t="s">
        <v>1570</v>
      </c>
      <c r="N60" s="8" t="s">
        <v>1578</v>
      </c>
      <c r="O60" s="2">
        <f ca="1">DATEDIF(Addmisson[[#This Row],[Student_DOB]],TODAY(),"y")</f>
        <v>19</v>
      </c>
      <c r="P60" s="2" t="str">
        <f>TEXT(Addmisson[[#This Row],[Admission_Date]],"mmmm")</f>
        <v>March</v>
      </c>
      <c r="Q60" s="2">
        <f>YEAR(Addmisson[[#This Row],[Admission_Date]])</f>
        <v>2025</v>
      </c>
    </row>
    <row r="61" spans="1:17" x14ac:dyDescent="0.25">
      <c r="A61" s="7" t="s">
        <v>158</v>
      </c>
      <c r="B61" s="3">
        <v>45731</v>
      </c>
      <c r="C61" s="2" t="s">
        <v>607</v>
      </c>
      <c r="D61" s="2" t="s">
        <v>1121</v>
      </c>
      <c r="E61" s="3">
        <v>38057</v>
      </c>
      <c r="F61" s="2" t="s">
        <v>142</v>
      </c>
      <c r="G61" s="2" t="s">
        <v>142</v>
      </c>
      <c r="H61" s="2" t="s">
        <v>142</v>
      </c>
      <c r="I61" s="2" t="s">
        <v>1059</v>
      </c>
      <c r="J61" s="2" t="s">
        <v>1059</v>
      </c>
      <c r="K61" s="2" t="s">
        <v>1562</v>
      </c>
      <c r="L61" s="2" t="s">
        <v>1567</v>
      </c>
      <c r="M61" s="5" t="s">
        <v>1575</v>
      </c>
      <c r="N61" s="8" t="s">
        <v>1578</v>
      </c>
      <c r="O61" s="2">
        <f ca="1">DATEDIF(Addmisson[[#This Row],[Student_DOB]],TODAY(),"y")</f>
        <v>22</v>
      </c>
      <c r="P61" s="2" t="str">
        <f>TEXT(Addmisson[[#This Row],[Admission_Date]],"mmmm")</f>
        <v>March</v>
      </c>
      <c r="Q61" s="2">
        <f>YEAR(Addmisson[[#This Row],[Admission_Date]])</f>
        <v>2025</v>
      </c>
    </row>
    <row r="62" spans="1:17" x14ac:dyDescent="0.25">
      <c r="A62" s="7" t="s">
        <v>159</v>
      </c>
      <c r="B62" s="3">
        <v>45732</v>
      </c>
      <c r="C62" s="2" t="s">
        <v>608</v>
      </c>
      <c r="D62" s="2" t="s">
        <v>1122</v>
      </c>
      <c r="E62" s="3">
        <v>38586</v>
      </c>
      <c r="F62" s="2" t="s">
        <v>129</v>
      </c>
      <c r="G62" s="2" t="s">
        <v>129</v>
      </c>
      <c r="H62" s="2" t="s">
        <v>130</v>
      </c>
      <c r="I62" s="2" t="s">
        <v>1060</v>
      </c>
      <c r="J62" s="2" t="s">
        <v>21</v>
      </c>
      <c r="K62" s="2" t="s">
        <v>1562</v>
      </c>
      <c r="L62" s="2" t="s">
        <v>1567</v>
      </c>
      <c r="M62" s="5" t="s">
        <v>1571</v>
      </c>
      <c r="N62" s="8" t="s">
        <v>1578</v>
      </c>
      <c r="O62" s="2">
        <f ca="1">DATEDIF(Addmisson[[#This Row],[Student_DOB]],TODAY(),"y")</f>
        <v>21</v>
      </c>
      <c r="P62" s="2" t="str">
        <f>TEXT(Addmisson[[#This Row],[Admission_Date]],"mmmm")</f>
        <v>March</v>
      </c>
      <c r="Q62" s="2">
        <f>YEAR(Addmisson[[#This Row],[Admission_Date]])</f>
        <v>2025</v>
      </c>
    </row>
    <row r="63" spans="1:17" x14ac:dyDescent="0.25">
      <c r="A63" s="7" t="s">
        <v>160</v>
      </c>
      <c r="B63" s="3">
        <v>45733</v>
      </c>
      <c r="C63" s="2" t="s">
        <v>609</v>
      </c>
      <c r="D63" s="2" t="s">
        <v>1123</v>
      </c>
      <c r="E63" s="3">
        <v>38116</v>
      </c>
      <c r="F63" s="2" t="s">
        <v>127</v>
      </c>
      <c r="G63" s="2" t="s">
        <v>127</v>
      </c>
      <c r="H63" s="2" t="s">
        <v>128</v>
      </c>
      <c r="I63" s="2" t="s">
        <v>1047</v>
      </c>
      <c r="J63" s="2" t="s">
        <v>1048</v>
      </c>
      <c r="K63" s="2" t="s">
        <v>1563</v>
      </c>
      <c r="L63" s="2" t="s">
        <v>1567</v>
      </c>
      <c r="M63" s="5" t="s">
        <v>1572</v>
      </c>
      <c r="N63" s="8" t="s">
        <v>1578</v>
      </c>
      <c r="O63" s="2">
        <f ca="1">DATEDIF(Addmisson[[#This Row],[Student_DOB]],TODAY(),"y")</f>
        <v>22</v>
      </c>
      <c r="P63" s="2" t="str">
        <f>TEXT(Addmisson[[#This Row],[Admission_Date]],"mmmm")</f>
        <v>March</v>
      </c>
      <c r="Q63" s="2">
        <f>YEAR(Addmisson[[#This Row],[Admission_Date]])</f>
        <v>2025</v>
      </c>
    </row>
    <row r="64" spans="1:17" x14ac:dyDescent="0.25">
      <c r="A64" s="7" t="s">
        <v>161</v>
      </c>
      <c r="B64" s="3">
        <v>45734</v>
      </c>
      <c r="C64" s="2" t="s">
        <v>610</v>
      </c>
      <c r="D64" s="2" t="s">
        <v>1124</v>
      </c>
      <c r="E64" s="3">
        <v>38642</v>
      </c>
      <c r="F64" s="2" t="s">
        <v>148</v>
      </c>
      <c r="G64" s="2" t="s">
        <v>148</v>
      </c>
      <c r="H64" s="2" t="s">
        <v>148</v>
      </c>
      <c r="I64" s="2" t="s">
        <v>1049</v>
      </c>
      <c r="J64" s="2" t="s">
        <v>1050</v>
      </c>
      <c r="K64" s="2" t="s">
        <v>1564</v>
      </c>
      <c r="L64" s="2" t="s">
        <v>1567</v>
      </c>
      <c r="M64" s="5" t="s">
        <v>1573</v>
      </c>
      <c r="N64" s="8" t="s">
        <v>1578</v>
      </c>
      <c r="O64" s="2">
        <f ca="1">DATEDIF(Addmisson[[#This Row],[Student_DOB]],TODAY(),"y")</f>
        <v>21</v>
      </c>
      <c r="P64" s="2" t="str">
        <f>TEXT(Addmisson[[#This Row],[Admission_Date]],"mmmm")</f>
        <v>March</v>
      </c>
      <c r="Q64" s="2">
        <f>YEAR(Addmisson[[#This Row],[Admission_Date]])</f>
        <v>2025</v>
      </c>
    </row>
    <row r="65" spans="1:17" x14ac:dyDescent="0.25">
      <c r="A65" s="7" t="s">
        <v>162</v>
      </c>
      <c r="B65" s="3">
        <v>45735</v>
      </c>
      <c r="C65" s="2" t="s">
        <v>611</v>
      </c>
      <c r="D65" s="2" t="s">
        <v>1125</v>
      </c>
      <c r="E65" s="3">
        <v>38011</v>
      </c>
      <c r="F65" s="2" t="s">
        <v>14</v>
      </c>
      <c r="G65" s="2" t="s">
        <v>14</v>
      </c>
      <c r="H65" s="2" t="s">
        <v>132</v>
      </c>
      <c r="I65" s="2" t="s">
        <v>1051</v>
      </c>
      <c r="J65" s="2" t="s">
        <v>1052</v>
      </c>
      <c r="K65" s="2" t="s">
        <v>1565</v>
      </c>
      <c r="L65" s="2" t="s">
        <v>1567</v>
      </c>
      <c r="M65" s="5" t="s">
        <v>1570</v>
      </c>
      <c r="N65" s="8" t="s">
        <v>1578</v>
      </c>
      <c r="O65" s="2">
        <f ca="1">DATEDIF(Addmisson[[#This Row],[Student_DOB]],TODAY(),"y")</f>
        <v>22</v>
      </c>
      <c r="P65" s="2" t="str">
        <f>TEXT(Addmisson[[#This Row],[Admission_Date]],"mmmm")</f>
        <v>March</v>
      </c>
      <c r="Q65" s="2">
        <f>YEAR(Addmisson[[#This Row],[Admission_Date]])</f>
        <v>2025</v>
      </c>
    </row>
    <row r="66" spans="1:17" x14ac:dyDescent="0.25">
      <c r="A66" s="7" t="s">
        <v>163</v>
      </c>
      <c r="B66" s="3">
        <v>45736</v>
      </c>
      <c r="C66" s="2" t="s">
        <v>612</v>
      </c>
      <c r="D66" s="2" t="s">
        <v>1126</v>
      </c>
      <c r="E66" s="3">
        <v>38539</v>
      </c>
      <c r="F66" s="2" t="s">
        <v>127</v>
      </c>
      <c r="G66" s="2" t="s">
        <v>127</v>
      </c>
      <c r="H66" s="2" t="s">
        <v>133</v>
      </c>
      <c r="I66" s="2" t="s">
        <v>1053</v>
      </c>
      <c r="J66" s="2" t="s">
        <v>1052</v>
      </c>
      <c r="K66" s="2" t="s">
        <v>1558</v>
      </c>
      <c r="L66" s="2" t="s">
        <v>1567</v>
      </c>
      <c r="M66" s="5" t="s">
        <v>1575</v>
      </c>
      <c r="N66" s="8" t="s">
        <v>1578</v>
      </c>
      <c r="O66" s="2">
        <f ca="1">DATEDIF(Addmisson[[#This Row],[Student_DOB]],TODAY(),"y")</f>
        <v>21</v>
      </c>
      <c r="P66" s="2" t="str">
        <f>TEXT(Addmisson[[#This Row],[Admission_Date]],"mmmm")</f>
        <v>March</v>
      </c>
      <c r="Q66" s="2">
        <f>YEAR(Addmisson[[#This Row],[Admission_Date]])</f>
        <v>2025</v>
      </c>
    </row>
    <row r="67" spans="1:17" x14ac:dyDescent="0.25">
      <c r="A67" s="7" t="s">
        <v>164</v>
      </c>
      <c r="B67" s="3">
        <v>45737</v>
      </c>
      <c r="C67" s="2" t="s">
        <v>613</v>
      </c>
      <c r="D67" s="2" t="s">
        <v>1127</v>
      </c>
      <c r="E67" s="3">
        <v>38334</v>
      </c>
      <c r="F67" s="2" t="s">
        <v>138</v>
      </c>
      <c r="G67" s="2" t="s">
        <v>138</v>
      </c>
      <c r="H67" s="2" t="s">
        <v>138</v>
      </c>
      <c r="I67" s="2" t="s">
        <v>1054</v>
      </c>
      <c r="J67" s="2" t="s">
        <v>1052</v>
      </c>
      <c r="K67" s="2" t="s">
        <v>1559</v>
      </c>
      <c r="L67" s="2" t="s">
        <v>1567</v>
      </c>
      <c r="M67" s="5" t="s">
        <v>1571</v>
      </c>
      <c r="N67" s="8" t="s">
        <v>1578</v>
      </c>
      <c r="O67" s="2">
        <f ca="1">DATEDIF(Addmisson[[#This Row],[Student_DOB]],TODAY(),"y")</f>
        <v>21</v>
      </c>
      <c r="P67" s="2" t="str">
        <f>TEXT(Addmisson[[#This Row],[Admission_Date]],"mmmm")</f>
        <v>March</v>
      </c>
      <c r="Q67" s="2">
        <f>YEAR(Addmisson[[#This Row],[Admission_Date]])</f>
        <v>2025</v>
      </c>
    </row>
    <row r="68" spans="1:17" x14ac:dyDescent="0.25">
      <c r="A68" s="7" t="s">
        <v>165</v>
      </c>
      <c r="B68" s="3">
        <v>45738</v>
      </c>
      <c r="C68" s="2" t="s">
        <v>614</v>
      </c>
      <c r="D68" s="2" t="s">
        <v>1128</v>
      </c>
      <c r="E68" s="3">
        <v>39535</v>
      </c>
      <c r="F68" s="2" t="s">
        <v>127</v>
      </c>
      <c r="G68" s="2" t="s">
        <v>127</v>
      </c>
      <c r="H68" s="2" t="s">
        <v>141</v>
      </c>
      <c r="I68" s="2" t="s">
        <v>1055</v>
      </c>
      <c r="J68" s="2" t="s">
        <v>1055</v>
      </c>
      <c r="K68" s="2" t="s">
        <v>1560</v>
      </c>
      <c r="L68" s="2" t="s">
        <v>1567</v>
      </c>
      <c r="M68" s="5" t="s">
        <v>1572</v>
      </c>
      <c r="N68" s="8" t="s">
        <v>1578</v>
      </c>
      <c r="O68" s="2">
        <f ca="1">DATEDIF(Addmisson[[#This Row],[Student_DOB]],TODAY(),"y")</f>
        <v>18</v>
      </c>
      <c r="P68" s="2" t="str">
        <f>TEXT(Addmisson[[#This Row],[Admission_Date]],"mmmm")</f>
        <v>March</v>
      </c>
      <c r="Q68" s="2">
        <f>YEAR(Addmisson[[#This Row],[Admission_Date]])</f>
        <v>2025</v>
      </c>
    </row>
    <row r="69" spans="1:17" x14ac:dyDescent="0.25">
      <c r="A69" s="7" t="s">
        <v>166</v>
      </c>
      <c r="B69" s="3">
        <v>45739</v>
      </c>
      <c r="C69" s="2" t="s">
        <v>615</v>
      </c>
      <c r="D69" s="2" t="s">
        <v>1129</v>
      </c>
      <c r="E69" s="3">
        <v>38140</v>
      </c>
      <c r="F69" s="2" t="s">
        <v>138</v>
      </c>
      <c r="G69" s="2" t="s">
        <v>138</v>
      </c>
      <c r="H69" s="2" t="s">
        <v>138</v>
      </c>
      <c r="I69" s="2" t="s">
        <v>16</v>
      </c>
      <c r="J69" s="2" t="s">
        <v>1056</v>
      </c>
      <c r="K69" s="2" t="s">
        <v>1561</v>
      </c>
      <c r="L69" s="2" t="s">
        <v>1567</v>
      </c>
      <c r="M69" s="5" t="s">
        <v>1573</v>
      </c>
      <c r="N69" s="8" t="s">
        <v>1578</v>
      </c>
      <c r="O69" s="2">
        <f ca="1">DATEDIF(Addmisson[[#This Row],[Student_DOB]],TODAY(),"y")</f>
        <v>22</v>
      </c>
      <c r="P69" s="2" t="str">
        <f>TEXT(Addmisson[[#This Row],[Admission_Date]],"mmmm")</f>
        <v>March</v>
      </c>
      <c r="Q69" s="2">
        <f>YEAR(Addmisson[[#This Row],[Admission_Date]])</f>
        <v>2025</v>
      </c>
    </row>
    <row r="70" spans="1:17" x14ac:dyDescent="0.25">
      <c r="A70" s="7" t="s">
        <v>167</v>
      </c>
      <c r="B70" s="3">
        <v>45740</v>
      </c>
      <c r="C70" s="2" t="s">
        <v>616</v>
      </c>
      <c r="D70" s="2" t="s">
        <v>1130</v>
      </c>
      <c r="E70" s="3">
        <v>38677</v>
      </c>
      <c r="F70" s="2" t="s">
        <v>127</v>
      </c>
      <c r="G70" s="2" t="s">
        <v>127</v>
      </c>
      <c r="H70" s="2" t="s">
        <v>141</v>
      </c>
      <c r="I70" s="2" t="s">
        <v>1057</v>
      </c>
      <c r="J70" s="2" t="s">
        <v>1058</v>
      </c>
      <c r="K70" s="2" t="s">
        <v>1562</v>
      </c>
      <c r="L70" s="2" t="s">
        <v>1567</v>
      </c>
      <c r="M70" s="5" t="s">
        <v>1574</v>
      </c>
      <c r="N70" s="8" t="s">
        <v>1578</v>
      </c>
      <c r="O70" s="2">
        <f ca="1">DATEDIF(Addmisson[[#This Row],[Student_DOB]],TODAY(),"y")</f>
        <v>20</v>
      </c>
      <c r="P70" s="2" t="str">
        <f>TEXT(Addmisson[[#This Row],[Admission_Date]],"mmmm")</f>
        <v>March</v>
      </c>
      <c r="Q70" s="2">
        <f>YEAR(Addmisson[[#This Row],[Admission_Date]])</f>
        <v>2025</v>
      </c>
    </row>
    <row r="71" spans="1:17" x14ac:dyDescent="0.25">
      <c r="A71" s="7" t="s">
        <v>168</v>
      </c>
      <c r="B71" s="3">
        <v>45741</v>
      </c>
      <c r="C71" s="2" t="s">
        <v>617</v>
      </c>
      <c r="D71" s="2" t="s">
        <v>1131</v>
      </c>
      <c r="E71" s="3">
        <v>38214</v>
      </c>
      <c r="F71" s="2" t="s">
        <v>129</v>
      </c>
      <c r="G71" s="2" t="s">
        <v>129</v>
      </c>
      <c r="H71" s="2" t="s">
        <v>143</v>
      </c>
      <c r="I71" s="2" t="s">
        <v>1059</v>
      </c>
      <c r="J71" s="2" t="s">
        <v>1059</v>
      </c>
      <c r="K71" s="2" t="s">
        <v>1563</v>
      </c>
      <c r="L71" s="2" t="s">
        <v>1567</v>
      </c>
      <c r="M71" s="5" t="s">
        <v>1576</v>
      </c>
      <c r="N71" s="8" t="s">
        <v>1578</v>
      </c>
      <c r="O71" s="2">
        <f ca="1">DATEDIF(Addmisson[[#This Row],[Student_DOB]],TODAY(),"y")</f>
        <v>22</v>
      </c>
      <c r="P71" s="2" t="str">
        <f>TEXT(Addmisson[[#This Row],[Admission_Date]],"mmmm")</f>
        <v>March</v>
      </c>
      <c r="Q71" s="2">
        <f>YEAR(Addmisson[[#This Row],[Admission_Date]])</f>
        <v>2025</v>
      </c>
    </row>
    <row r="72" spans="1:17" x14ac:dyDescent="0.25">
      <c r="A72" s="7" t="s">
        <v>169</v>
      </c>
      <c r="B72" s="3">
        <v>45742</v>
      </c>
      <c r="C72" s="2" t="s">
        <v>618</v>
      </c>
      <c r="D72" s="2" t="s">
        <v>1132</v>
      </c>
      <c r="E72" s="3">
        <v>38446</v>
      </c>
      <c r="F72" s="2" t="s">
        <v>14</v>
      </c>
      <c r="G72" s="2" t="s">
        <v>14</v>
      </c>
      <c r="H72" s="2" t="s">
        <v>15</v>
      </c>
      <c r="I72" s="2" t="s">
        <v>1060</v>
      </c>
      <c r="J72" s="2" t="s">
        <v>21</v>
      </c>
      <c r="K72" s="2" t="s">
        <v>1564</v>
      </c>
      <c r="L72" s="2" t="s">
        <v>1567</v>
      </c>
      <c r="M72" s="5" t="s">
        <v>1577</v>
      </c>
      <c r="N72" s="8" t="s">
        <v>1578</v>
      </c>
      <c r="O72" s="2">
        <f ca="1">DATEDIF(Addmisson[[#This Row],[Student_DOB]],TODAY(),"y")</f>
        <v>21</v>
      </c>
      <c r="P72" s="2" t="str">
        <f>TEXT(Addmisson[[#This Row],[Admission_Date]],"mmmm")</f>
        <v>March</v>
      </c>
      <c r="Q72" s="2">
        <f>YEAR(Addmisson[[#This Row],[Admission_Date]])</f>
        <v>2025</v>
      </c>
    </row>
    <row r="73" spans="1:17" x14ac:dyDescent="0.25">
      <c r="A73" s="7" t="s">
        <v>170</v>
      </c>
      <c r="B73" s="3">
        <v>45743</v>
      </c>
      <c r="C73" s="2" t="s">
        <v>619</v>
      </c>
      <c r="D73" s="2" t="s">
        <v>1133</v>
      </c>
      <c r="E73" s="3">
        <v>38286</v>
      </c>
      <c r="F73" s="2" t="s">
        <v>145</v>
      </c>
      <c r="G73" s="2" t="s">
        <v>145</v>
      </c>
      <c r="H73" s="2" t="s">
        <v>145</v>
      </c>
      <c r="I73" s="2" t="s">
        <v>1047</v>
      </c>
      <c r="J73" s="2" t="s">
        <v>1048</v>
      </c>
      <c r="K73" s="2" t="s">
        <v>1564</v>
      </c>
      <c r="L73" s="2" t="s">
        <v>1567</v>
      </c>
      <c r="M73" s="5" t="s">
        <v>1570</v>
      </c>
      <c r="N73" s="8" t="s">
        <v>1578</v>
      </c>
      <c r="O73" s="2">
        <f ca="1">DATEDIF(Addmisson[[#This Row],[Student_DOB]],TODAY(),"y")</f>
        <v>21</v>
      </c>
      <c r="P73" s="2" t="str">
        <f>TEXT(Addmisson[[#This Row],[Admission_Date]],"mmmm")</f>
        <v>March</v>
      </c>
      <c r="Q73" s="2">
        <f>YEAR(Addmisson[[#This Row],[Admission_Date]])</f>
        <v>2025</v>
      </c>
    </row>
    <row r="74" spans="1:17" x14ac:dyDescent="0.25">
      <c r="A74" s="7" t="s">
        <v>171</v>
      </c>
      <c r="B74" s="3">
        <v>45744</v>
      </c>
      <c r="C74" s="2" t="s">
        <v>620</v>
      </c>
      <c r="D74" s="2" t="s">
        <v>1134</v>
      </c>
      <c r="E74" s="3">
        <v>38395</v>
      </c>
      <c r="F74" s="2" t="s">
        <v>127</v>
      </c>
      <c r="G74" s="2" t="s">
        <v>127</v>
      </c>
      <c r="H74" s="2" t="s">
        <v>144</v>
      </c>
      <c r="I74" s="2" t="s">
        <v>1049</v>
      </c>
      <c r="J74" s="2" t="s">
        <v>1050</v>
      </c>
      <c r="K74" s="2" t="s">
        <v>1564</v>
      </c>
      <c r="L74" s="2" t="s">
        <v>1567</v>
      </c>
      <c r="M74" s="5" t="s">
        <v>1575</v>
      </c>
      <c r="N74" s="8" t="s">
        <v>1578</v>
      </c>
      <c r="O74" s="2">
        <f ca="1">DATEDIF(Addmisson[[#This Row],[Student_DOB]],TODAY(),"y")</f>
        <v>21</v>
      </c>
      <c r="P74" s="2" t="str">
        <f>TEXT(Addmisson[[#This Row],[Admission_Date]],"mmmm")</f>
        <v>March</v>
      </c>
      <c r="Q74" s="2">
        <f>YEAR(Addmisson[[#This Row],[Admission_Date]])</f>
        <v>2025</v>
      </c>
    </row>
    <row r="75" spans="1:17" x14ac:dyDescent="0.25">
      <c r="A75" s="7" t="s">
        <v>172</v>
      </c>
      <c r="B75" s="3">
        <v>45745</v>
      </c>
      <c r="C75" s="2" t="s">
        <v>621</v>
      </c>
      <c r="D75" s="2" t="s">
        <v>1135</v>
      </c>
      <c r="E75" s="3">
        <v>38237</v>
      </c>
      <c r="F75" s="2" t="s">
        <v>129</v>
      </c>
      <c r="G75" s="2" t="s">
        <v>129</v>
      </c>
      <c r="H75" s="2" t="s">
        <v>147</v>
      </c>
      <c r="I75" s="2" t="s">
        <v>1051</v>
      </c>
      <c r="J75" s="2" t="s">
        <v>1052</v>
      </c>
      <c r="K75" s="2" t="s">
        <v>1564</v>
      </c>
      <c r="L75" s="2" t="s">
        <v>1567</v>
      </c>
      <c r="M75" s="5" t="s">
        <v>1571</v>
      </c>
      <c r="N75" s="8" t="s">
        <v>1578</v>
      </c>
      <c r="O75" s="2">
        <f ca="1">DATEDIF(Addmisson[[#This Row],[Student_DOB]],TODAY(),"y")</f>
        <v>22</v>
      </c>
      <c r="P75" s="2" t="str">
        <f>TEXT(Addmisson[[#This Row],[Admission_Date]],"mmmm")</f>
        <v>March</v>
      </c>
      <c r="Q75" s="2">
        <f>YEAR(Addmisson[[#This Row],[Admission_Date]])</f>
        <v>2025</v>
      </c>
    </row>
    <row r="76" spans="1:17" x14ac:dyDescent="0.25">
      <c r="A76" s="7" t="s">
        <v>173</v>
      </c>
      <c r="B76" s="3">
        <v>45746</v>
      </c>
      <c r="C76" s="2" t="s">
        <v>622</v>
      </c>
      <c r="D76" s="2" t="s">
        <v>1136</v>
      </c>
      <c r="E76" s="3">
        <v>38490</v>
      </c>
      <c r="F76" s="2" t="s">
        <v>27</v>
      </c>
      <c r="G76" s="2" t="s">
        <v>27</v>
      </c>
      <c r="H76" s="2" t="s">
        <v>131</v>
      </c>
      <c r="I76" s="2" t="s">
        <v>1053</v>
      </c>
      <c r="J76" s="2" t="s">
        <v>1052</v>
      </c>
      <c r="K76" s="2" t="s">
        <v>1564</v>
      </c>
      <c r="L76" s="2" t="s">
        <v>1567</v>
      </c>
      <c r="M76" s="5" t="s">
        <v>1572</v>
      </c>
      <c r="N76" s="8" t="s">
        <v>1578</v>
      </c>
      <c r="O76" s="2">
        <f ca="1">DATEDIF(Addmisson[[#This Row],[Student_DOB]],TODAY(),"y")</f>
        <v>21</v>
      </c>
      <c r="P76" s="2" t="str">
        <f>TEXT(Addmisson[[#This Row],[Admission_Date]],"mmmm")</f>
        <v>March</v>
      </c>
      <c r="Q76" s="2">
        <f>YEAR(Addmisson[[#This Row],[Admission_Date]])</f>
        <v>2025</v>
      </c>
    </row>
    <row r="77" spans="1:17" x14ac:dyDescent="0.25">
      <c r="A77" s="7" t="s">
        <v>174</v>
      </c>
      <c r="B77" s="3">
        <v>45747</v>
      </c>
      <c r="C77" s="2" t="s">
        <v>623</v>
      </c>
      <c r="D77" s="2" t="s">
        <v>1137</v>
      </c>
      <c r="E77" s="3">
        <v>39445</v>
      </c>
      <c r="F77" s="2" t="s">
        <v>127</v>
      </c>
      <c r="G77" s="2" t="s">
        <v>127</v>
      </c>
      <c r="H77" s="2" t="s">
        <v>146</v>
      </c>
      <c r="I77" s="2" t="s">
        <v>1054</v>
      </c>
      <c r="J77" s="2" t="s">
        <v>1052</v>
      </c>
      <c r="K77" s="2" t="s">
        <v>1564</v>
      </c>
      <c r="L77" s="2" t="s">
        <v>1567</v>
      </c>
      <c r="M77" s="5" t="s">
        <v>1573</v>
      </c>
      <c r="N77" s="8" t="s">
        <v>1578</v>
      </c>
      <c r="O77" s="2">
        <f ca="1">DATEDIF(Addmisson[[#This Row],[Student_DOB]],TODAY(),"y")</f>
        <v>18</v>
      </c>
      <c r="P77" s="2" t="str">
        <f>TEXT(Addmisson[[#This Row],[Admission_Date]],"mmmm")</f>
        <v>March</v>
      </c>
      <c r="Q77" s="2">
        <f>YEAR(Addmisson[[#This Row],[Admission_Date]])</f>
        <v>2025</v>
      </c>
    </row>
    <row r="78" spans="1:17" x14ac:dyDescent="0.25">
      <c r="A78" s="7" t="s">
        <v>175</v>
      </c>
      <c r="B78" s="3">
        <v>45748</v>
      </c>
      <c r="C78" s="2" t="s">
        <v>624</v>
      </c>
      <c r="D78" s="2" t="s">
        <v>1138</v>
      </c>
      <c r="E78" s="3">
        <v>38463</v>
      </c>
      <c r="F78" s="2" t="s">
        <v>142</v>
      </c>
      <c r="G78" s="2" t="s">
        <v>142</v>
      </c>
      <c r="H78" s="2" t="s">
        <v>142</v>
      </c>
      <c r="I78" s="2" t="s">
        <v>1055</v>
      </c>
      <c r="J78" s="2" t="s">
        <v>1055</v>
      </c>
      <c r="K78" s="2" t="s">
        <v>1564</v>
      </c>
      <c r="L78" s="2" t="s">
        <v>1567</v>
      </c>
      <c r="M78" s="5" t="s">
        <v>1574</v>
      </c>
      <c r="N78" s="8" t="s">
        <v>1578</v>
      </c>
      <c r="O78" s="2">
        <f ca="1">DATEDIF(Addmisson[[#This Row],[Student_DOB]],TODAY(),"y")</f>
        <v>21</v>
      </c>
      <c r="P78" s="2" t="str">
        <f>TEXT(Addmisson[[#This Row],[Admission_Date]],"mmmm")</f>
        <v>April</v>
      </c>
      <c r="Q78" s="2">
        <f>YEAR(Addmisson[[#This Row],[Admission_Date]])</f>
        <v>2025</v>
      </c>
    </row>
    <row r="79" spans="1:17" x14ac:dyDescent="0.25">
      <c r="A79" s="7" t="s">
        <v>176</v>
      </c>
      <c r="B79" s="3">
        <v>45749</v>
      </c>
      <c r="C79" s="2" t="s">
        <v>625</v>
      </c>
      <c r="D79" s="2" t="s">
        <v>1139</v>
      </c>
      <c r="E79" s="3">
        <v>37989</v>
      </c>
      <c r="F79" s="2" t="s">
        <v>129</v>
      </c>
      <c r="G79" s="2" t="s">
        <v>129</v>
      </c>
      <c r="H79" s="2" t="s">
        <v>130</v>
      </c>
      <c r="I79" s="2" t="s">
        <v>16</v>
      </c>
      <c r="J79" s="2" t="s">
        <v>1056</v>
      </c>
      <c r="K79" s="2" t="s">
        <v>1564</v>
      </c>
      <c r="L79" s="2" t="s">
        <v>1567</v>
      </c>
      <c r="M79" s="5" t="s">
        <v>1576</v>
      </c>
      <c r="N79" s="8" t="s">
        <v>1578</v>
      </c>
      <c r="O79" s="2">
        <f ca="1">DATEDIF(Addmisson[[#This Row],[Student_DOB]],TODAY(),"y")</f>
        <v>22</v>
      </c>
      <c r="P79" s="2" t="str">
        <f>TEXT(Addmisson[[#This Row],[Admission_Date]],"mmmm")</f>
        <v>April</v>
      </c>
      <c r="Q79" s="2">
        <f>YEAR(Addmisson[[#This Row],[Admission_Date]])</f>
        <v>2025</v>
      </c>
    </row>
    <row r="80" spans="1:17" x14ac:dyDescent="0.25">
      <c r="A80" s="7" t="s">
        <v>177</v>
      </c>
      <c r="B80" s="3">
        <v>45750</v>
      </c>
      <c r="C80" s="2" t="s">
        <v>626</v>
      </c>
      <c r="D80" s="2" t="s">
        <v>1140</v>
      </c>
      <c r="E80" s="3">
        <v>38521</v>
      </c>
      <c r="F80" s="2" t="s">
        <v>127</v>
      </c>
      <c r="G80" s="2" t="s">
        <v>127</v>
      </c>
      <c r="H80" s="2" t="s">
        <v>128</v>
      </c>
      <c r="I80" s="2" t="s">
        <v>1057</v>
      </c>
      <c r="J80" s="2" t="s">
        <v>1058</v>
      </c>
      <c r="K80" s="2" t="s">
        <v>1564</v>
      </c>
      <c r="L80" s="2" t="s">
        <v>1568</v>
      </c>
      <c r="M80" s="5" t="s">
        <v>1577</v>
      </c>
      <c r="N80" s="8" t="s">
        <v>1578</v>
      </c>
      <c r="O80" s="2">
        <f ca="1">DATEDIF(Addmisson[[#This Row],[Student_DOB]],TODAY(),"y")</f>
        <v>21</v>
      </c>
      <c r="P80" s="2" t="str">
        <f>TEXT(Addmisson[[#This Row],[Admission_Date]],"mmmm")</f>
        <v>April</v>
      </c>
      <c r="Q80" s="2">
        <f>YEAR(Addmisson[[#This Row],[Admission_Date]])</f>
        <v>2025</v>
      </c>
    </row>
    <row r="81" spans="1:17" x14ac:dyDescent="0.25">
      <c r="A81" s="7" t="s">
        <v>178</v>
      </c>
      <c r="B81" s="3">
        <v>45751</v>
      </c>
      <c r="C81" s="2" t="s">
        <v>627</v>
      </c>
      <c r="D81" s="2" t="s">
        <v>1141</v>
      </c>
      <c r="E81" s="3">
        <v>38070</v>
      </c>
      <c r="F81" s="2" t="s">
        <v>148</v>
      </c>
      <c r="G81" s="2" t="s">
        <v>148</v>
      </c>
      <c r="H81" s="2" t="s">
        <v>148</v>
      </c>
      <c r="I81" s="2" t="s">
        <v>1059</v>
      </c>
      <c r="J81" s="2" t="s">
        <v>1059</v>
      </c>
      <c r="K81" s="2" t="s">
        <v>1564</v>
      </c>
      <c r="L81" s="2" t="s">
        <v>1568</v>
      </c>
      <c r="M81" s="5" t="s">
        <v>1570</v>
      </c>
      <c r="N81" s="8" t="s">
        <v>1578</v>
      </c>
      <c r="O81" s="2">
        <f ca="1">DATEDIF(Addmisson[[#This Row],[Student_DOB]],TODAY(),"y")</f>
        <v>22</v>
      </c>
      <c r="P81" s="2" t="str">
        <f>TEXT(Addmisson[[#This Row],[Admission_Date]],"mmmm")</f>
        <v>April</v>
      </c>
      <c r="Q81" s="2">
        <f>YEAR(Addmisson[[#This Row],[Admission_Date]])</f>
        <v>2025</v>
      </c>
    </row>
    <row r="82" spans="1:17" x14ac:dyDescent="0.25">
      <c r="A82" s="7" t="s">
        <v>179</v>
      </c>
      <c r="B82" s="3">
        <v>45752</v>
      </c>
      <c r="C82" s="2" t="s">
        <v>628</v>
      </c>
      <c r="D82" s="2" t="s">
        <v>1142</v>
      </c>
      <c r="E82" s="3">
        <v>38604</v>
      </c>
      <c r="F82" s="2" t="s">
        <v>14</v>
      </c>
      <c r="G82" s="2" t="s">
        <v>14</v>
      </c>
      <c r="H82" s="2" t="s">
        <v>132</v>
      </c>
      <c r="I82" s="2" t="s">
        <v>1060</v>
      </c>
      <c r="J82" s="2" t="s">
        <v>21</v>
      </c>
      <c r="K82" s="2" t="s">
        <v>1564</v>
      </c>
      <c r="L82" s="2" t="s">
        <v>1567</v>
      </c>
      <c r="M82" s="5" t="s">
        <v>1575</v>
      </c>
      <c r="N82" s="8" t="s">
        <v>1578</v>
      </c>
      <c r="O82" s="2">
        <f ca="1">DATEDIF(Addmisson[[#This Row],[Student_DOB]],TODAY(),"y")</f>
        <v>21</v>
      </c>
      <c r="P82" s="2" t="str">
        <f>TEXT(Addmisson[[#This Row],[Admission_Date]],"mmmm")</f>
        <v>April</v>
      </c>
      <c r="Q82" s="2">
        <f>YEAR(Addmisson[[#This Row],[Admission_Date]])</f>
        <v>2025</v>
      </c>
    </row>
    <row r="83" spans="1:17" x14ac:dyDescent="0.25">
      <c r="A83" s="7" t="s">
        <v>180</v>
      </c>
      <c r="B83" s="3">
        <v>45753</v>
      </c>
      <c r="C83" s="2" t="s">
        <v>629</v>
      </c>
      <c r="D83" s="2" t="s">
        <v>1143</v>
      </c>
      <c r="E83" s="3">
        <v>38180</v>
      </c>
      <c r="F83" s="2" t="s">
        <v>127</v>
      </c>
      <c r="G83" s="2" t="s">
        <v>127</v>
      </c>
      <c r="H83" s="2" t="s">
        <v>133</v>
      </c>
      <c r="I83" s="2" t="s">
        <v>1047</v>
      </c>
      <c r="J83" s="2" t="s">
        <v>1048</v>
      </c>
      <c r="K83" s="2" t="s">
        <v>1559</v>
      </c>
      <c r="L83" s="2" t="s">
        <v>1567</v>
      </c>
      <c r="M83" s="5" t="s">
        <v>1571</v>
      </c>
      <c r="N83" s="8" t="s">
        <v>1578</v>
      </c>
      <c r="O83" s="2">
        <f ca="1">DATEDIF(Addmisson[[#This Row],[Student_DOB]],TODAY(),"y")</f>
        <v>22</v>
      </c>
      <c r="P83" s="2" t="str">
        <f>TEXT(Addmisson[[#This Row],[Admission_Date]],"mmmm")</f>
        <v>April</v>
      </c>
      <c r="Q83" s="2">
        <f>YEAR(Addmisson[[#This Row],[Admission_Date]])</f>
        <v>2025</v>
      </c>
    </row>
    <row r="84" spans="1:17" x14ac:dyDescent="0.25">
      <c r="A84" s="7" t="s">
        <v>181</v>
      </c>
      <c r="B84" s="3">
        <v>45754</v>
      </c>
      <c r="C84" s="2" t="s">
        <v>630</v>
      </c>
      <c r="D84" s="2" t="s">
        <v>1144</v>
      </c>
      <c r="E84" s="3">
        <v>38774</v>
      </c>
      <c r="F84" s="2" t="s">
        <v>138</v>
      </c>
      <c r="G84" s="2" t="s">
        <v>138</v>
      </c>
      <c r="H84" s="2" t="s">
        <v>138</v>
      </c>
      <c r="I84" s="2" t="s">
        <v>1049</v>
      </c>
      <c r="J84" s="2" t="s">
        <v>1050</v>
      </c>
      <c r="K84" s="2" t="s">
        <v>1560</v>
      </c>
      <c r="L84" s="2" t="s">
        <v>1568</v>
      </c>
      <c r="M84" s="5" t="s">
        <v>1572</v>
      </c>
      <c r="N84" s="8" t="s">
        <v>1578</v>
      </c>
      <c r="O84" s="2">
        <f ca="1">DATEDIF(Addmisson[[#This Row],[Student_DOB]],TODAY(),"y")</f>
        <v>20</v>
      </c>
      <c r="P84" s="2" t="str">
        <f>TEXT(Addmisson[[#This Row],[Admission_Date]],"mmmm")</f>
        <v>April</v>
      </c>
      <c r="Q84" s="2">
        <f>YEAR(Addmisson[[#This Row],[Admission_Date]])</f>
        <v>2025</v>
      </c>
    </row>
    <row r="85" spans="1:17" x14ac:dyDescent="0.25">
      <c r="A85" s="7" t="s">
        <v>182</v>
      </c>
      <c r="B85" s="3">
        <v>45755</v>
      </c>
      <c r="C85" s="2" t="s">
        <v>631</v>
      </c>
      <c r="D85" s="2" t="s">
        <v>1145</v>
      </c>
      <c r="E85" s="3">
        <v>38328</v>
      </c>
      <c r="F85" s="2" t="s">
        <v>127</v>
      </c>
      <c r="G85" s="2" t="s">
        <v>127</v>
      </c>
      <c r="H85" s="2" t="s">
        <v>141</v>
      </c>
      <c r="I85" s="2" t="s">
        <v>1051</v>
      </c>
      <c r="J85" s="2" t="s">
        <v>1052</v>
      </c>
      <c r="K85" s="2" t="s">
        <v>1561</v>
      </c>
      <c r="L85" s="2" t="s">
        <v>1567</v>
      </c>
      <c r="M85" s="5" t="s">
        <v>1573</v>
      </c>
      <c r="N85" s="8" t="s">
        <v>1578</v>
      </c>
      <c r="O85" s="2">
        <f ca="1">DATEDIF(Addmisson[[#This Row],[Student_DOB]],TODAY(),"y")</f>
        <v>21</v>
      </c>
      <c r="P85" s="2" t="str">
        <f>TEXT(Addmisson[[#This Row],[Admission_Date]],"mmmm")</f>
        <v>April</v>
      </c>
      <c r="Q85" s="2">
        <f>YEAR(Addmisson[[#This Row],[Admission_Date]])</f>
        <v>2025</v>
      </c>
    </row>
    <row r="86" spans="1:17" x14ac:dyDescent="0.25">
      <c r="A86" s="7" t="s">
        <v>183</v>
      </c>
      <c r="B86" s="3">
        <v>45756</v>
      </c>
      <c r="C86" s="2" t="s">
        <v>632</v>
      </c>
      <c r="D86" s="2" t="s">
        <v>1146</v>
      </c>
      <c r="E86" s="3">
        <v>38457</v>
      </c>
      <c r="F86" s="2" t="s">
        <v>129</v>
      </c>
      <c r="G86" s="2" t="s">
        <v>129</v>
      </c>
      <c r="H86" s="2" t="s">
        <v>143</v>
      </c>
      <c r="I86" s="2" t="s">
        <v>1053</v>
      </c>
      <c r="J86" s="2" t="s">
        <v>1052</v>
      </c>
      <c r="K86" s="2" t="s">
        <v>1562</v>
      </c>
      <c r="L86" s="2" t="s">
        <v>1567</v>
      </c>
      <c r="M86" s="5" t="s">
        <v>1570</v>
      </c>
      <c r="N86" s="8" t="s">
        <v>1578</v>
      </c>
      <c r="O86" s="2">
        <f ca="1">DATEDIF(Addmisson[[#This Row],[Student_DOB]],TODAY(),"y")</f>
        <v>21</v>
      </c>
      <c r="P86" s="2" t="str">
        <f>TEXT(Addmisson[[#This Row],[Admission_Date]],"mmmm")</f>
        <v>April</v>
      </c>
      <c r="Q86" s="2">
        <f>YEAR(Addmisson[[#This Row],[Admission_Date]])</f>
        <v>2025</v>
      </c>
    </row>
    <row r="87" spans="1:17" x14ac:dyDescent="0.25">
      <c r="A87" s="7" t="s">
        <v>184</v>
      </c>
      <c r="B87" s="3">
        <v>45757</v>
      </c>
      <c r="C87" s="2" t="s">
        <v>633</v>
      </c>
      <c r="D87" s="2" t="s">
        <v>1147</v>
      </c>
      <c r="E87" s="3">
        <v>38128</v>
      </c>
      <c r="F87" s="2" t="s">
        <v>14</v>
      </c>
      <c r="G87" s="2" t="s">
        <v>14</v>
      </c>
      <c r="H87" s="2" t="s">
        <v>15</v>
      </c>
      <c r="I87" s="2" t="s">
        <v>1054</v>
      </c>
      <c r="J87" s="2" t="s">
        <v>1052</v>
      </c>
      <c r="K87" s="2" t="s">
        <v>1563</v>
      </c>
      <c r="L87" s="2" t="s">
        <v>1568</v>
      </c>
      <c r="M87" s="5" t="s">
        <v>1575</v>
      </c>
      <c r="N87" s="8" t="s">
        <v>1578</v>
      </c>
      <c r="O87" s="2">
        <f ca="1">DATEDIF(Addmisson[[#This Row],[Student_DOB]],TODAY(),"y")</f>
        <v>22</v>
      </c>
      <c r="P87" s="2" t="str">
        <f>TEXT(Addmisson[[#This Row],[Admission_Date]],"mmmm")</f>
        <v>April</v>
      </c>
      <c r="Q87" s="2">
        <f>YEAR(Addmisson[[#This Row],[Admission_Date]])</f>
        <v>2025</v>
      </c>
    </row>
    <row r="88" spans="1:17" x14ac:dyDescent="0.25">
      <c r="A88" s="7" t="s">
        <v>185</v>
      </c>
      <c r="B88" s="3">
        <v>45758</v>
      </c>
      <c r="C88" s="2" t="s">
        <v>634</v>
      </c>
      <c r="D88" s="2" t="s">
        <v>1148</v>
      </c>
      <c r="E88" s="3">
        <v>38655</v>
      </c>
      <c r="F88" s="2" t="s">
        <v>145</v>
      </c>
      <c r="G88" s="2" t="s">
        <v>145</v>
      </c>
      <c r="H88" s="2" t="s">
        <v>145</v>
      </c>
      <c r="I88" s="2" t="s">
        <v>1055</v>
      </c>
      <c r="J88" s="2" t="s">
        <v>1055</v>
      </c>
      <c r="K88" s="2" t="s">
        <v>1564</v>
      </c>
      <c r="L88" s="2" t="s">
        <v>1567</v>
      </c>
      <c r="M88" s="5" t="s">
        <v>1571</v>
      </c>
      <c r="N88" s="8" t="s">
        <v>1578</v>
      </c>
      <c r="O88" s="2">
        <f ca="1">DATEDIF(Addmisson[[#This Row],[Student_DOB]],TODAY(),"y")</f>
        <v>20</v>
      </c>
      <c r="P88" s="2" t="str">
        <f>TEXT(Addmisson[[#This Row],[Admission_Date]],"mmmm")</f>
        <v>April</v>
      </c>
      <c r="Q88" s="2">
        <f>YEAR(Addmisson[[#This Row],[Admission_Date]])</f>
        <v>2025</v>
      </c>
    </row>
    <row r="89" spans="1:17" x14ac:dyDescent="0.25">
      <c r="A89" s="7" t="s">
        <v>186</v>
      </c>
      <c r="B89" s="3">
        <v>45759</v>
      </c>
      <c r="C89" s="2" t="s">
        <v>635</v>
      </c>
      <c r="D89" s="2" t="s">
        <v>1149</v>
      </c>
      <c r="E89" s="3">
        <v>38205</v>
      </c>
      <c r="F89" s="2" t="s">
        <v>127</v>
      </c>
      <c r="G89" s="2" t="s">
        <v>127</v>
      </c>
      <c r="H89" s="2" t="s">
        <v>144</v>
      </c>
      <c r="I89" s="2" t="s">
        <v>16</v>
      </c>
      <c r="J89" s="2" t="s">
        <v>1056</v>
      </c>
      <c r="K89" s="2" t="s">
        <v>1565</v>
      </c>
      <c r="L89" s="2" t="s">
        <v>1567</v>
      </c>
      <c r="M89" s="5" t="s">
        <v>1572</v>
      </c>
      <c r="N89" s="8" t="s">
        <v>1578</v>
      </c>
      <c r="O89" s="2">
        <f ca="1">DATEDIF(Addmisson[[#This Row],[Student_DOB]],TODAY(),"y")</f>
        <v>22</v>
      </c>
      <c r="P89" s="2" t="str">
        <f>TEXT(Addmisson[[#This Row],[Admission_Date]],"mmmm")</f>
        <v>April</v>
      </c>
      <c r="Q89" s="2">
        <f>YEAR(Addmisson[[#This Row],[Admission_Date]])</f>
        <v>2025</v>
      </c>
    </row>
    <row r="90" spans="1:17" x14ac:dyDescent="0.25">
      <c r="A90" s="7" t="s">
        <v>187</v>
      </c>
      <c r="B90" s="3">
        <v>45760</v>
      </c>
      <c r="C90" s="2" t="s">
        <v>636</v>
      </c>
      <c r="D90" s="2" t="s">
        <v>1150</v>
      </c>
      <c r="E90" s="3">
        <v>38371</v>
      </c>
      <c r="F90" s="2" t="s">
        <v>129</v>
      </c>
      <c r="G90" s="2" t="s">
        <v>129</v>
      </c>
      <c r="H90" s="2" t="s">
        <v>147</v>
      </c>
      <c r="I90" s="2" t="s">
        <v>1057</v>
      </c>
      <c r="J90" s="2" t="s">
        <v>1058</v>
      </c>
      <c r="K90" s="2" t="s">
        <v>1558</v>
      </c>
      <c r="L90" s="2" t="s">
        <v>1568</v>
      </c>
      <c r="M90" s="5" t="s">
        <v>1573</v>
      </c>
      <c r="N90" s="8" t="s">
        <v>1578</v>
      </c>
      <c r="O90" s="2">
        <f ca="1">DATEDIF(Addmisson[[#This Row],[Student_DOB]],TODAY(),"y")</f>
        <v>21</v>
      </c>
      <c r="P90" s="2" t="str">
        <f>TEXT(Addmisson[[#This Row],[Admission_Date]],"mmmm")</f>
        <v>April</v>
      </c>
      <c r="Q90" s="2">
        <f>YEAR(Addmisson[[#This Row],[Admission_Date]])</f>
        <v>2025</v>
      </c>
    </row>
    <row r="91" spans="1:17" x14ac:dyDescent="0.25">
      <c r="A91" s="7" t="s">
        <v>188</v>
      </c>
      <c r="B91" s="3">
        <v>45761</v>
      </c>
      <c r="C91" s="2" t="s">
        <v>637</v>
      </c>
      <c r="D91" s="2" t="s">
        <v>1151</v>
      </c>
      <c r="E91" s="3">
        <v>38319</v>
      </c>
      <c r="F91" s="2" t="s">
        <v>27</v>
      </c>
      <c r="G91" s="2" t="s">
        <v>27</v>
      </c>
      <c r="H91" s="2" t="s">
        <v>131</v>
      </c>
      <c r="I91" s="2" t="s">
        <v>1059</v>
      </c>
      <c r="J91" s="2" t="s">
        <v>1059</v>
      </c>
      <c r="K91" s="2" t="s">
        <v>1559</v>
      </c>
      <c r="L91" s="2" t="s">
        <v>1567</v>
      </c>
      <c r="M91" s="5" t="s">
        <v>1574</v>
      </c>
      <c r="N91" s="8" t="s">
        <v>1578</v>
      </c>
      <c r="O91" s="2">
        <f ca="1">DATEDIF(Addmisson[[#This Row],[Student_DOB]],TODAY(),"y")</f>
        <v>21</v>
      </c>
      <c r="P91" s="2" t="str">
        <f>TEXT(Addmisson[[#This Row],[Admission_Date]],"mmmm")</f>
        <v>April</v>
      </c>
      <c r="Q91" s="2">
        <f>YEAR(Addmisson[[#This Row],[Admission_Date]])</f>
        <v>2025</v>
      </c>
    </row>
    <row r="92" spans="1:17" x14ac:dyDescent="0.25">
      <c r="A92" s="7" t="s">
        <v>189</v>
      </c>
      <c r="B92" s="3">
        <v>45762</v>
      </c>
      <c r="C92" s="2" t="s">
        <v>638</v>
      </c>
      <c r="D92" s="2" t="s">
        <v>1152</v>
      </c>
      <c r="E92" s="3">
        <v>38514</v>
      </c>
      <c r="F92" s="2" t="s">
        <v>127</v>
      </c>
      <c r="G92" s="2" t="s">
        <v>127</v>
      </c>
      <c r="H92" s="2" t="s">
        <v>146</v>
      </c>
      <c r="I92" s="2" t="s">
        <v>1060</v>
      </c>
      <c r="J92" s="2" t="s">
        <v>21</v>
      </c>
      <c r="K92" s="2" t="s">
        <v>1560</v>
      </c>
      <c r="L92" s="2" t="s">
        <v>1567</v>
      </c>
      <c r="M92" s="5" t="s">
        <v>1576</v>
      </c>
      <c r="N92" s="8" t="s">
        <v>1578</v>
      </c>
      <c r="O92" s="2">
        <f ca="1">DATEDIF(Addmisson[[#This Row],[Student_DOB]],TODAY(),"y")</f>
        <v>21</v>
      </c>
      <c r="P92" s="2" t="str">
        <f>TEXT(Addmisson[[#This Row],[Admission_Date]],"mmmm")</f>
        <v>April</v>
      </c>
      <c r="Q92" s="2">
        <f>YEAR(Addmisson[[#This Row],[Admission_Date]])</f>
        <v>2025</v>
      </c>
    </row>
    <row r="93" spans="1:17" x14ac:dyDescent="0.25">
      <c r="A93" s="7" t="s">
        <v>190</v>
      </c>
      <c r="B93" s="3">
        <v>45763</v>
      </c>
      <c r="C93" s="2" t="s">
        <v>639</v>
      </c>
      <c r="D93" s="2" t="s">
        <v>1153</v>
      </c>
      <c r="E93" s="3">
        <v>39937</v>
      </c>
      <c r="F93" s="2" t="s">
        <v>142</v>
      </c>
      <c r="G93" s="2" t="s">
        <v>142</v>
      </c>
      <c r="H93" s="2" t="s">
        <v>142</v>
      </c>
      <c r="I93" s="2" t="s">
        <v>1047</v>
      </c>
      <c r="J93" s="2" t="s">
        <v>1048</v>
      </c>
      <c r="K93" s="2" t="s">
        <v>1561</v>
      </c>
      <c r="L93" s="2" t="s">
        <v>1567</v>
      </c>
      <c r="M93" s="5" t="s">
        <v>1577</v>
      </c>
      <c r="N93" s="8" t="s">
        <v>1578</v>
      </c>
      <c r="O93" s="2">
        <f ca="1">DATEDIF(Addmisson[[#This Row],[Student_DOB]],TODAY(),"y")</f>
        <v>17</v>
      </c>
      <c r="P93" s="2" t="str">
        <f>TEXT(Addmisson[[#This Row],[Admission_Date]],"mmmm")</f>
        <v>April</v>
      </c>
      <c r="Q93" s="2">
        <f>YEAR(Addmisson[[#This Row],[Admission_Date]])</f>
        <v>2025</v>
      </c>
    </row>
    <row r="94" spans="1:17" x14ac:dyDescent="0.25">
      <c r="A94" s="7" t="s">
        <v>191</v>
      </c>
      <c r="B94" s="3">
        <v>45764</v>
      </c>
      <c r="C94" s="2" t="s">
        <v>640</v>
      </c>
      <c r="D94" s="2" t="s">
        <v>1154</v>
      </c>
      <c r="E94" s="3">
        <v>38618</v>
      </c>
      <c r="F94" s="2" t="s">
        <v>129</v>
      </c>
      <c r="G94" s="2" t="s">
        <v>129</v>
      </c>
      <c r="H94" s="2" t="s">
        <v>130</v>
      </c>
      <c r="I94" s="2" t="s">
        <v>1049</v>
      </c>
      <c r="J94" s="2" t="s">
        <v>1050</v>
      </c>
      <c r="K94" s="2" t="s">
        <v>1562</v>
      </c>
      <c r="L94" s="2" t="s">
        <v>1567</v>
      </c>
      <c r="M94" s="5" t="s">
        <v>1570</v>
      </c>
      <c r="N94" s="8" t="s">
        <v>1578</v>
      </c>
      <c r="O94" s="2">
        <f ca="1">DATEDIF(Addmisson[[#This Row],[Student_DOB]],TODAY(),"y")</f>
        <v>21</v>
      </c>
      <c r="P94" s="2" t="str">
        <f>TEXT(Addmisson[[#This Row],[Admission_Date]],"mmmm")</f>
        <v>April</v>
      </c>
      <c r="Q94" s="2">
        <f>YEAR(Addmisson[[#This Row],[Admission_Date]])</f>
        <v>2025</v>
      </c>
    </row>
    <row r="95" spans="1:17" x14ac:dyDescent="0.25">
      <c r="A95" s="7" t="s">
        <v>192</v>
      </c>
      <c r="B95" s="3">
        <v>45765</v>
      </c>
      <c r="C95" s="2" t="s">
        <v>641</v>
      </c>
      <c r="D95" s="2" t="s">
        <v>1155</v>
      </c>
      <c r="E95" s="3">
        <v>38337</v>
      </c>
      <c r="F95" s="2" t="s">
        <v>127</v>
      </c>
      <c r="G95" s="2" t="s">
        <v>127</v>
      </c>
      <c r="H95" s="2" t="s">
        <v>128</v>
      </c>
      <c r="I95" s="2" t="s">
        <v>1051</v>
      </c>
      <c r="J95" s="2" t="s">
        <v>1052</v>
      </c>
      <c r="K95" s="2" t="s">
        <v>1563</v>
      </c>
      <c r="L95" s="2" t="s">
        <v>1567</v>
      </c>
      <c r="M95" s="5" t="s">
        <v>1575</v>
      </c>
      <c r="N95" s="8" t="s">
        <v>1578</v>
      </c>
      <c r="O95" s="2">
        <f ca="1">DATEDIF(Addmisson[[#This Row],[Student_DOB]],TODAY(),"y")</f>
        <v>21</v>
      </c>
      <c r="P95" s="2" t="str">
        <f>TEXT(Addmisson[[#This Row],[Admission_Date]],"mmmm")</f>
        <v>April</v>
      </c>
      <c r="Q95" s="2">
        <f>YEAR(Addmisson[[#This Row],[Admission_Date]])</f>
        <v>2025</v>
      </c>
    </row>
    <row r="96" spans="1:17" x14ac:dyDescent="0.25">
      <c r="A96" s="7" t="s">
        <v>193</v>
      </c>
      <c r="B96" s="3">
        <v>45766</v>
      </c>
      <c r="C96" s="2" t="s">
        <v>642</v>
      </c>
      <c r="D96" s="2" t="s">
        <v>1156</v>
      </c>
      <c r="E96" s="3">
        <v>38778</v>
      </c>
      <c r="F96" s="2" t="s">
        <v>148</v>
      </c>
      <c r="G96" s="2" t="s">
        <v>148</v>
      </c>
      <c r="H96" s="2" t="s">
        <v>148</v>
      </c>
      <c r="I96" s="2" t="s">
        <v>1053</v>
      </c>
      <c r="J96" s="2" t="s">
        <v>1052</v>
      </c>
      <c r="K96" s="2" t="s">
        <v>1564</v>
      </c>
      <c r="L96" s="2" t="s">
        <v>1567</v>
      </c>
      <c r="M96" s="5" t="s">
        <v>1571</v>
      </c>
      <c r="N96" s="8" t="s">
        <v>1578</v>
      </c>
      <c r="O96" s="2">
        <f ca="1">DATEDIF(Addmisson[[#This Row],[Student_DOB]],TODAY(),"y")</f>
        <v>20</v>
      </c>
      <c r="P96" s="2" t="str">
        <f>TEXT(Addmisson[[#This Row],[Admission_Date]],"mmmm")</f>
        <v>April</v>
      </c>
      <c r="Q96" s="2">
        <f>YEAR(Addmisson[[#This Row],[Admission_Date]])</f>
        <v>2025</v>
      </c>
    </row>
    <row r="97" spans="1:17" x14ac:dyDescent="0.25">
      <c r="A97" s="7" t="s">
        <v>194</v>
      </c>
      <c r="B97" s="3">
        <v>45767</v>
      </c>
      <c r="C97" s="2" t="s">
        <v>643</v>
      </c>
      <c r="D97" s="2" t="s">
        <v>1157</v>
      </c>
      <c r="E97" s="3">
        <v>38193</v>
      </c>
      <c r="F97" s="2" t="s">
        <v>14</v>
      </c>
      <c r="G97" s="2" t="s">
        <v>14</v>
      </c>
      <c r="H97" s="2" t="s">
        <v>132</v>
      </c>
      <c r="I97" s="2" t="s">
        <v>1054</v>
      </c>
      <c r="J97" s="2" t="s">
        <v>1052</v>
      </c>
      <c r="K97" s="2" t="s">
        <v>1565</v>
      </c>
      <c r="L97" s="2" t="s">
        <v>1567</v>
      </c>
      <c r="M97" s="5" t="s">
        <v>1572</v>
      </c>
      <c r="N97" s="8" t="s">
        <v>1578</v>
      </c>
      <c r="O97" s="2">
        <f ca="1">DATEDIF(Addmisson[[#This Row],[Student_DOB]],TODAY(),"y")</f>
        <v>22</v>
      </c>
      <c r="P97" s="2" t="str">
        <f>TEXT(Addmisson[[#This Row],[Admission_Date]],"mmmm")</f>
        <v>April</v>
      </c>
      <c r="Q97" s="2">
        <f>YEAR(Addmisson[[#This Row],[Admission_Date]])</f>
        <v>2025</v>
      </c>
    </row>
    <row r="98" spans="1:17" x14ac:dyDescent="0.25">
      <c r="A98" s="7" t="s">
        <v>195</v>
      </c>
      <c r="B98" s="3">
        <v>45768</v>
      </c>
      <c r="C98" s="2" t="s">
        <v>644</v>
      </c>
      <c r="D98" s="2" t="s">
        <v>1158</v>
      </c>
      <c r="E98" s="3">
        <v>38639</v>
      </c>
      <c r="F98" s="2" t="s">
        <v>127</v>
      </c>
      <c r="G98" s="2" t="s">
        <v>127</v>
      </c>
      <c r="H98" s="2" t="s">
        <v>133</v>
      </c>
      <c r="I98" s="2" t="s">
        <v>1055</v>
      </c>
      <c r="J98" s="2" t="s">
        <v>1055</v>
      </c>
      <c r="K98" s="2" t="s">
        <v>1558</v>
      </c>
      <c r="L98" s="2" t="s">
        <v>1567</v>
      </c>
      <c r="M98" s="5" t="s">
        <v>1573</v>
      </c>
      <c r="N98" s="8" t="s">
        <v>1578</v>
      </c>
      <c r="O98" s="2">
        <f ca="1">DATEDIF(Addmisson[[#This Row],[Student_DOB]],TODAY(),"y")</f>
        <v>21</v>
      </c>
      <c r="P98" s="2" t="str">
        <f>TEXT(Addmisson[[#This Row],[Admission_Date]],"mmmm")</f>
        <v>April</v>
      </c>
      <c r="Q98" s="2">
        <f>YEAR(Addmisson[[#This Row],[Admission_Date]])</f>
        <v>2025</v>
      </c>
    </row>
    <row r="99" spans="1:17" x14ac:dyDescent="0.25">
      <c r="A99" s="7" t="s">
        <v>196</v>
      </c>
      <c r="B99" s="3">
        <v>45769</v>
      </c>
      <c r="C99" s="2" t="s">
        <v>645</v>
      </c>
      <c r="D99" s="2" t="s">
        <v>1159</v>
      </c>
      <c r="E99" s="3">
        <v>39121</v>
      </c>
      <c r="F99" s="2" t="s">
        <v>138</v>
      </c>
      <c r="G99" s="2" t="s">
        <v>138</v>
      </c>
      <c r="H99" s="2" t="s">
        <v>138</v>
      </c>
      <c r="I99" s="2" t="s">
        <v>16</v>
      </c>
      <c r="J99" s="2" t="s">
        <v>1056</v>
      </c>
      <c r="K99" s="2" t="s">
        <v>1559</v>
      </c>
      <c r="L99" s="2" t="s">
        <v>1567</v>
      </c>
      <c r="M99" s="5" t="s">
        <v>1574</v>
      </c>
      <c r="N99" s="8" t="s">
        <v>1578</v>
      </c>
      <c r="O99" s="2">
        <f ca="1">DATEDIF(Addmisson[[#This Row],[Student_DOB]],TODAY(),"y")</f>
        <v>19</v>
      </c>
      <c r="P99" s="2" t="str">
        <f>TEXT(Addmisson[[#This Row],[Admission_Date]],"mmmm")</f>
        <v>April</v>
      </c>
      <c r="Q99" s="2">
        <f>YEAR(Addmisson[[#This Row],[Admission_Date]])</f>
        <v>2025</v>
      </c>
    </row>
    <row r="100" spans="1:17" x14ac:dyDescent="0.25">
      <c r="A100" s="7" t="s">
        <v>197</v>
      </c>
      <c r="B100" s="3">
        <v>45770</v>
      </c>
      <c r="C100" s="2" t="s">
        <v>646</v>
      </c>
      <c r="D100" s="2" t="s">
        <v>1160</v>
      </c>
      <c r="E100" s="3">
        <v>38530</v>
      </c>
      <c r="F100" s="2" t="s">
        <v>127</v>
      </c>
      <c r="G100" s="2" t="s">
        <v>127</v>
      </c>
      <c r="H100" s="2" t="s">
        <v>141</v>
      </c>
      <c r="I100" s="2" t="s">
        <v>1057</v>
      </c>
      <c r="J100" s="2" t="s">
        <v>1058</v>
      </c>
      <c r="K100" s="2" t="s">
        <v>1560</v>
      </c>
      <c r="L100" s="2" t="s">
        <v>1567</v>
      </c>
      <c r="M100" s="5" t="s">
        <v>1576</v>
      </c>
      <c r="N100" s="8" t="s">
        <v>1578</v>
      </c>
      <c r="O100" s="2">
        <f ca="1">DATEDIF(Addmisson[[#This Row],[Student_DOB]],TODAY(),"y")</f>
        <v>21</v>
      </c>
      <c r="P100" s="2" t="str">
        <f>TEXT(Addmisson[[#This Row],[Admission_Date]],"mmmm")</f>
        <v>April</v>
      </c>
      <c r="Q100" s="2">
        <f>YEAR(Addmisson[[#This Row],[Admission_Date]])</f>
        <v>2025</v>
      </c>
    </row>
    <row r="101" spans="1:17" x14ac:dyDescent="0.25">
      <c r="A101" s="7" t="s">
        <v>198</v>
      </c>
      <c r="B101" s="3">
        <v>45771</v>
      </c>
      <c r="C101" s="2" t="s">
        <v>647</v>
      </c>
      <c r="D101" s="2" t="s">
        <v>1161</v>
      </c>
      <c r="E101" s="3">
        <v>38087</v>
      </c>
      <c r="F101" s="2" t="s">
        <v>138</v>
      </c>
      <c r="G101" s="2" t="s">
        <v>138</v>
      </c>
      <c r="H101" s="2" t="s">
        <v>138</v>
      </c>
      <c r="I101" s="2" t="s">
        <v>1059</v>
      </c>
      <c r="J101" s="2" t="s">
        <v>1059</v>
      </c>
      <c r="K101" s="2" t="s">
        <v>1561</v>
      </c>
      <c r="L101" s="2" t="s">
        <v>1567</v>
      </c>
      <c r="M101" s="5" t="s">
        <v>1577</v>
      </c>
      <c r="N101" s="8" t="s">
        <v>1578</v>
      </c>
      <c r="O101" s="2">
        <f ca="1">DATEDIF(Addmisson[[#This Row],[Student_DOB]],TODAY(),"y")</f>
        <v>22</v>
      </c>
      <c r="P101" s="2" t="str">
        <f>TEXT(Addmisson[[#This Row],[Admission_Date]],"mmmm")</f>
        <v>April</v>
      </c>
      <c r="Q101" s="2">
        <f>YEAR(Addmisson[[#This Row],[Admission_Date]])</f>
        <v>2025</v>
      </c>
    </row>
    <row r="102" spans="1:17" x14ac:dyDescent="0.25">
      <c r="A102" s="7" t="s">
        <v>199</v>
      </c>
      <c r="B102" s="3">
        <v>45772</v>
      </c>
      <c r="C102" s="2" t="s">
        <v>648</v>
      </c>
      <c r="D102" s="2" t="s">
        <v>1162</v>
      </c>
      <c r="E102" s="3">
        <v>38708</v>
      </c>
      <c r="F102" s="2" t="s">
        <v>127</v>
      </c>
      <c r="G102" s="2" t="s">
        <v>127</v>
      </c>
      <c r="H102" s="2" t="s">
        <v>141</v>
      </c>
      <c r="I102" s="2" t="s">
        <v>1060</v>
      </c>
      <c r="J102" s="2" t="s">
        <v>21</v>
      </c>
      <c r="K102" s="2" t="s">
        <v>1562</v>
      </c>
      <c r="L102" s="2" t="s">
        <v>1567</v>
      </c>
      <c r="M102" s="5" t="s">
        <v>1570</v>
      </c>
      <c r="N102" s="8" t="s">
        <v>1578</v>
      </c>
      <c r="O102" s="2">
        <f ca="1">DATEDIF(Addmisson[[#This Row],[Student_DOB]],TODAY(),"y")</f>
        <v>20</v>
      </c>
      <c r="P102" s="2" t="str">
        <f>TEXT(Addmisson[[#This Row],[Admission_Date]],"mmmm")</f>
        <v>April</v>
      </c>
      <c r="Q102" s="2">
        <f>YEAR(Addmisson[[#This Row],[Admission_Date]])</f>
        <v>2025</v>
      </c>
    </row>
    <row r="103" spans="1:17" x14ac:dyDescent="0.25">
      <c r="A103" s="7" t="s">
        <v>200</v>
      </c>
      <c r="B103" s="3">
        <v>45773</v>
      </c>
      <c r="C103" s="2" t="s">
        <v>649</v>
      </c>
      <c r="D103" s="2" t="s">
        <v>1163</v>
      </c>
      <c r="E103" s="3">
        <v>38247</v>
      </c>
      <c r="F103" s="2" t="s">
        <v>129</v>
      </c>
      <c r="G103" s="2" t="s">
        <v>129</v>
      </c>
      <c r="H103" s="2" t="s">
        <v>143</v>
      </c>
      <c r="I103" s="2" t="s">
        <v>1047</v>
      </c>
      <c r="J103" s="2" t="s">
        <v>1048</v>
      </c>
      <c r="K103" s="2" t="s">
        <v>1563</v>
      </c>
      <c r="L103" s="2" t="s">
        <v>1567</v>
      </c>
      <c r="M103" s="5" t="s">
        <v>1575</v>
      </c>
      <c r="N103" s="8" t="s">
        <v>1578</v>
      </c>
      <c r="O103" s="2">
        <f ca="1">DATEDIF(Addmisson[[#This Row],[Student_DOB]],TODAY(),"y")</f>
        <v>22</v>
      </c>
      <c r="P103" s="2" t="str">
        <f>TEXT(Addmisson[[#This Row],[Admission_Date]],"mmmm")</f>
        <v>April</v>
      </c>
      <c r="Q103" s="2">
        <f>YEAR(Addmisson[[#This Row],[Admission_Date]])</f>
        <v>2025</v>
      </c>
    </row>
    <row r="104" spans="1:17" x14ac:dyDescent="0.25">
      <c r="A104" s="7" t="s">
        <v>201</v>
      </c>
      <c r="B104" s="3">
        <v>45774</v>
      </c>
      <c r="C104" s="2" t="s">
        <v>650</v>
      </c>
      <c r="D104" s="2" t="s">
        <v>1164</v>
      </c>
      <c r="E104" s="3">
        <v>38477</v>
      </c>
      <c r="F104" s="2" t="s">
        <v>14</v>
      </c>
      <c r="G104" s="2" t="s">
        <v>14</v>
      </c>
      <c r="H104" s="2" t="s">
        <v>15</v>
      </c>
      <c r="I104" s="2" t="s">
        <v>1049</v>
      </c>
      <c r="J104" s="2" t="s">
        <v>1050</v>
      </c>
      <c r="K104" s="2" t="s">
        <v>1564</v>
      </c>
      <c r="L104" s="2" t="s">
        <v>1567</v>
      </c>
      <c r="M104" s="5" t="s">
        <v>1571</v>
      </c>
      <c r="N104" s="8" t="s">
        <v>1578</v>
      </c>
      <c r="O104" s="2">
        <f ca="1">DATEDIF(Addmisson[[#This Row],[Student_DOB]],TODAY(),"y")</f>
        <v>21</v>
      </c>
      <c r="P104" s="2" t="str">
        <f>TEXT(Addmisson[[#This Row],[Admission_Date]],"mmmm")</f>
        <v>April</v>
      </c>
      <c r="Q104" s="2">
        <f>YEAR(Addmisson[[#This Row],[Admission_Date]])</f>
        <v>2025</v>
      </c>
    </row>
    <row r="105" spans="1:17" x14ac:dyDescent="0.25">
      <c r="A105" s="7" t="s">
        <v>202</v>
      </c>
      <c r="B105" s="3">
        <v>45775</v>
      </c>
      <c r="C105" s="2" t="s">
        <v>651</v>
      </c>
      <c r="D105" s="2" t="s">
        <v>1165</v>
      </c>
      <c r="E105" s="3">
        <v>38015</v>
      </c>
      <c r="F105" s="2" t="s">
        <v>145</v>
      </c>
      <c r="G105" s="2" t="s">
        <v>145</v>
      </c>
      <c r="H105" s="2" t="s">
        <v>145</v>
      </c>
      <c r="I105" s="2" t="s">
        <v>1051</v>
      </c>
      <c r="J105" s="2" t="s">
        <v>1052</v>
      </c>
      <c r="K105" s="2" t="s">
        <v>1565</v>
      </c>
      <c r="L105" s="2" t="s">
        <v>1567</v>
      </c>
      <c r="M105" s="5" t="s">
        <v>1572</v>
      </c>
      <c r="N105" s="8" t="s">
        <v>1578</v>
      </c>
      <c r="O105" s="2">
        <f ca="1">DATEDIF(Addmisson[[#This Row],[Student_DOB]],TODAY(),"y")</f>
        <v>22</v>
      </c>
      <c r="P105" s="2" t="str">
        <f>TEXT(Addmisson[[#This Row],[Admission_Date]],"mmmm")</f>
        <v>April</v>
      </c>
      <c r="Q105" s="2">
        <f>YEAR(Addmisson[[#This Row],[Admission_Date]])</f>
        <v>2025</v>
      </c>
    </row>
    <row r="106" spans="1:17" x14ac:dyDescent="0.25">
      <c r="A106" s="7" t="s">
        <v>203</v>
      </c>
      <c r="B106" s="3">
        <v>45776</v>
      </c>
      <c r="C106" s="2" t="s">
        <v>652</v>
      </c>
      <c r="D106" s="2" t="s">
        <v>1166</v>
      </c>
      <c r="E106" s="3">
        <v>39673</v>
      </c>
      <c r="F106" s="2" t="s">
        <v>127</v>
      </c>
      <c r="G106" s="2" t="s">
        <v>127</v>
      </c>
      <c r="H106" s="2" t="s">
        <v>144</v>
      </c>
      <c r="I106" s="2" t="s">
        <v>1053</v>
      </c>
      <c r="J106" s="2" t="s">
        <v>1052</v>
      </c>
      <c r="K106" s="2" t="s">
        <v>1558</v>
      </c>
      <c r="L106" s="2" t="s">
        <v>1567</v>
      </c>
      <c r="M106" s="5" t="s">
        <v>1573</v>
      </c>
      <c r="N106" s="8" t="s">
        <v>1578</v>
      </c>
      <c r="O106" s="2">
        <f ca="1">DATEDIF(Addmisson[[#This Row],[Student_DOB]],TODAY(),"y")</f>
        <v>18</v>
      </c>
      <c r="P106" s="2" t="str">
        <f>TEXT(Addmisson[[#This Row],[Admission_Date]],"mmmm")</f>
        <v>April</v>
      </c>
      <c r="Q106" s="2">
        <f>YEAR(Addmisson[[#This Row],[Admission_Date]])</f>
        <v>2025</v>
      </c>
    </row>
    <row r="107" spans="1:17" x14ac:dyDescent="0.25">
      <c r="A107" s="7" t="s">
        <v>204</v>
      </c>
      <c r="B107" s="3">
        <v>45777</v>
      </c>
      <c r="C107" s="2" t="s">
        <v>653</v>
      </c>
      <c r="D107" s="2" t="s">
        <v>1167</v>
      </c>
      <c r="E107" s="3">
        <v>38311</v>
      </c>
      <c r="F107" s="2" t="s">
        <v>129</v>
      </c>
      <c r="G107" s="2" t="s">
        <v>129</v>
      </c>
      <c r="H107" s="2" t="s">
        <v>147</v>
      </c>
      <c r="I107" s="2" t="s">
        <v>1054</v>
      </c>
      <c r="J107" s="2" t="s">
        <v>1052</v>
      </c>
      <c r="K107" s="2" t="s">
        <v>1559</v>
      </c>
      <c r="L107" s="2" t="s">
        <v>1567</v>
      </c>
      <c r="M107" s="5" t="s">
        <v>1570</v>
      </c>
      <c r="N107" s="8" t="s">
        <v>1578</v>
      </c>
      <c r="O107" s="2">
        <f ca="1">DATEDIF(Addmisson[[#This Row],[Student_DOB]],TODAY(),"y")</f>
        <v>21</v>
      </c>
      <c r="P107" s="2" t="str">
        <f>TEXT(Addmisson[[#This Row],[Admission_Date]],"mmmm")</f>
        <v>April</v>
      </c>
      <c r="Q107" s="2">
        <f>YEAR(Addmisson[[#This Row],[Admission_Date]])</f>
        <v>2025</v>
      </c>
    </row>
    <row r="108" spans="1:17" x14ac:dyDescent="0.25">
      <c r="A108" s="7" t="s">
        <v>205</v>
      </c>
      <c r="B108" s="3">
        <v>45778</v>
      </c>
      <c r="C108" s="2" t="s">
        <v>654</v>
      </c>
      <c r="D108" s="2" t="s">
        <v>1168</v>
      </c>
      <c r="E108" s="3">
        <v>38443</v>
      </c>
      <c r="F108" s="2" t="s">
        <v>27</v>
      </c>
      <c r="G108" s="2" t="s">
        <v>27</v>
      </c>
      <c r="H108" s="2" t="s">
        <v>131</v>
      </c>
      <c r="I108" s="2" t="s">
        <v>1055</v>
      </c>
      <c r="J108" s="2" t="s">
        <v>1055</v>
      </c>
      <c r="K108" s="2" t="s">
        <v>1560</v>
      </c>
      <c r="L108" s="2" t="s">
        <v>1567</v>
      </c>
      <c r="M108" s="5" t="s">
        <v>1575</v>
      </c>
      <c r="N108" s="8" t="s">
        <v>1578</v>
      </c>
      <c r="O108" s="2">
        <f ca="1">DATEDIF(Addmisson[[#This Row],[Student_DOB]],TODAY(),"y")</f>
        <v>21</v>
      </c>
      <c r="P108" s="2" t="str">
        <f>TEXT(Addmisson[[#This Row],[Admission_Date]],"mmmm")</f>
        <v>May</v>
      </c>
      <c r="Q108" s="2">
        <f>YEAR(Addmisson[[#This Row],[Admission_Date]])</f>
        <v>2025</v>
      </c>
    </row>
    <row r="109" spans="1:17" x14ac:dyDescent="0.25">
      <c r="A109" s="7" t="s">
        <v>206</v>
      </c>
      <c r="B109" s="3">
        <v>45779</v>
      </c>
      <c r="C109" s="2" t="s">
        <v>655</v>
      </c>
      <c r="D109" s="2" t="s">
        <v>1169</v>
      </c>
      <c r="E109" s="3">
        <v>38177</v>
      </c>
      <c r="F109" s="2" t="s">
        <v>127</v>
      </c>
      <c r="G109" s="2" t="s">
        <v>127</v>
      </c>
      <c r="H109" s="2" t="s">
        <v>146</v>
      </c>
      <c r="I109" s="2" t="s">
        <v>16</v>
      </c>
      <c r="J109" s="2" t="s">
        <v>1056</v>
      </c>
      <c r="K109" s="2" t="s">
        <v>1561</v>
      </c>
      <c r="L109" s="2" t="s">
        <v>1567</v>
      </c>
      <c r="M109" s="5" t="s">
        <v>1571</v>
      </c>
      <c r="N109" s="8" t="s">
        <v>1578</v>
      </c>
      <c r="O109" s="2">
        <f ca="1">DATEDIF(Addmisson[[#This Row],[Student_DOB]],TODAY(),"y")</f>
        <v>22</v>
      </c>
      <c r="P109" s="2" t="str">
        <f>TEXT(Addmisson[[#This Row],[Admission_Date]],"mmmm")</f>
        <v>May</v>
      </c>
      <c r="Q109" s="2">
        <f>YEAR(Addmisson[[#This Row],[Admission_Date]])</f>
        <v>2025</v>
      </c>
    </row>
    <row r="110" spans="1:17" x14ac:dyDescent="0.25">
      <c r="A110" s="7" t="s">
        <v>207</v>
      </c>
      <c r="B110" s="3">
        <v>45780</v>
      </c>
      <c r="C110" s="2" t="s">
        <v>656</v>
      </c>
      <c r="D110" s="2" t="s">
        <v>1170</v>
      </c>
      <c r="E110" s="3">
        <v>38649</v>
      </c>
      <c r="F110" s="2" t="s">
        <v>142</v>
      </c>
      <c r="G110" s="2" t="s">
        <v>142</v>
      </c>
      <c r="H110" s="2" t="s">
        <v>142</v>
      </c>
      <c r="I110" s="2" t="s">
        <v>1057</v>
      </c>
      <c r="J110" s="2" t="s">
        <v>1058</v>
      </c>
      <c r="K110" s="2" t="s">
        <v>1562</v>
      </c>
      <c r="L110" s="2" t="s">
        <v>1567</v>
      </c>
      <c r="M110" s="5" t="s">
        <v>1572</v>
      </c>
      <c r="N110" s="8" t="s">
        <v>1578</v>
      </c>
      <c r="O110" s="2">
        <f ca="1">DATEDIF(Addmisson[[#This Row],[Student_DOB]],TODAY(),"y")</f>
        <v>20</v>
      </c>
      <c r="P110" s="2" t="str">
        <f>TEXT(Addmisson[[#This Row],[Admission_Date]],"mmmm")</f>
        <v>May</v>
      </c>
      <c r="Q110" s="2">
        <f>YEAR(Addmisson[[#This Row],[Admission_Date]])</f>
        <v>2025</v>
      </c>
    </row>
    <row r="111" spans="1:17" x14ac:dyDescent="0.25">
      <c r="A111" s="7" t="s">
        <v>208</v>
      </c>
      <c r="B111" s="3">
        <v>45781</v>
      </c>
      <c r="C111" s="2" t="s">
        <v>657</v>
      </c>
      <c r="D111" s="2" t="s">
        <v>1171</v>
      </c>
      <c r="E111" s="3">
        <v>38052</v>
      </c>
      <c r="F111" s="2" t="s">
        <v>129</v>
      </c>
      <c r="G111" s="2" t="s">
        <v>129</v>
      </c>
      <c r="H111" s="2" t="s">
        <v>130</v>
      </c>
      <c r="I111" s="2" t="s">
        <v>1059</v>
      </c>
      <c r="J111" s="2" t="s">
        <v>1059</v>
      </c>
      <c r="K111" s="2" t="s">
        <v>1563</v>
      </c>
      <c r="L111" s="2" t="s">
        <v>1567</v>
      </c>
      <c r="M111" s="5" t="s">
        <v>1573</v>
      </c>
      <c r="N111" s="8" t="s">
        <v>1578</v>
      </c>
      <c r="O111" s="2">
        <f ca="1">DATEDIF(Addmisson[[#This Row],[Student_DOB]],TODAY(),"y")</f>
        <v>22</v>
      </c>
      <c r="P111" s="2" t="str">
        <f>TEXT(Addmisson[[#This Row],[Admission_Date]],"mmmm")</f>
        <v>May</v>
      </c>
      <c r="Q111" s="2">
        <f>YEAR(Addmisson[[#This Row],[Admission_Date]])</f>
        <v>2025</v>
      </c>
    </row>
    <row r="112" spans="1:17" x14ac:dyDescent="0.25">
      <c r="A112" s="7" t="s">
        <v>209</v>
      </c>
      <c r="B112" s="3">
        <v>45782</v>
      </c>
      <c r="C112" s="2" t="s">
        <v>658</v>
      </c>
      <c r="D112" s="2" t="s">
        <v>1172</v>
      </c>
      <c r="E112" s="3">
        <v>38704</v>
      </c>
      <c r="F112" s="2" t="s">
        <v>127</v>
      </c>
      <c r="G112" s="2" t="s">
        <v>127</v>
      </c>
      <c r="H112" s="2" t="s">
        <v>128</v>
      </c>
      <c r="I112" s="2" t="s">
        <v>1060</v>
      </c>
      <c r="J112" s="2" t="s">
        <v>21</v>
      </c>
      <c r="K112" s="2" t="s">
        <v>1564</v>
      </c>
      <c r="L112" s="2" t="s">
        <v>1567</v>
      </c>
      <c r="M112" s="5" t="s">
        <v>1574</v>
      </c>
      <c r="N112" s="8" t="s">
        <v>1578</v>
      </c>
      <c r="O112" s="2">
        <f ca="1">DATEDIF(Addmisson[[#This Row],[Student_DOB]],TODAY(),"y")</f>
        <v>20</v>
      </c>
      <c r="P112" s="2" t="str">
        <f>TEXT(Addmisson[[#This Row],[Admission_Date]],"mmmm")</f>
        <v>May</v>
      </c>
      <c r="Q112" s="2">
        <f>YEAR(Addmisson[[#This Row],[Admission_Date]])</f>
        <v>2025</v>
      </c>
    </row>
    <row r="113" spans="1:17" x14ac:dyDescent="0.25">
      <c r="A113" s="7" t="s">
        <v>210</v>
      </c>
      <c r="B113" s="3">
        <v>45783</v>
      </c>
      <c r="C113" s="2" t="s">
        <v>659</v>
      </c>
      <c r="D113" s="2" t="s">
        <v>1173</v>
      </c>
      <c r="E113" s="3">
        <v>38119</v>
      </c>
      <c r="F113" s="2" t="s">
        <v>148</v>
      </c>
      <c r="G113" s="2" t="s">
        <v>148</v>
      </c>
      <c r="H113" s="2" t="s">
        <v>148</v>
      </c>
      <c r="I113" s="2" t="s">
        <v>1047</v>
      </c>
      <c r="J113" s="2" t="s">
        <v>1048</v>
      </c>
      <c r="K113" s="2" t="s">
        <v>1565</v>
      </c>
      <c r="L113" s="2" t="s">
        <v>1567</v>
      </c>
      <c r="M113" s="5" t="s">
        <v>1576</v>
      </c>
      <c r="N113" s="8" t="s">
        <v>1578</v>
      </c>
      <c r="O113" s="2">
        <f ca="1">DATEDIF(Addmisson[[#This Row],[Student_DOB]],TODAY(),"y")</f>
        <v>22</v>
      </c>
      <c r="P113" s="2" t="str">
        <f>TEXT(Addmisson[[#This Row],[Admission_Date]],"mmmm")</f>
        <v>May</v>
      </c>
      <c r="Q113" s="2">
        <f>YEAR(Addmisson[[#This Row],[Admission_Date]])</f>
        <v>2025</v>
      </c>
    </row>
    <row r="114" spans="1:17" x14ac:dyDescent="0.25">
      <c r="A114" s="7" t="s">
        <v>211</v>
      </c>
      <c r="B114" s="3">
        <v>45784</v>
      </c>
      <c r="C114" s="2" t="s">
        <v>660</v>
      </c>
      <c r="D114" s="2" t="s">
        <v>1174</v>
      </c>
      <c r="E114" s="3">
        <v>38410</v>
      </c>
      <c r="F114" s="2" t="s">
        <v>14</v>
      </c>
      <c r="G114" s="2" t="s">
        <v>14</v>
      </c>
      <c r="H114" s="2" t="s">
        <v>132</v>
      </c>
      <c r="I114" s="2" t="s">
        <v>1049</v>
      </c>
      <c r="J114" s="2" t="s">
        <v>1050</v>
      </c>
      <c r="K114" s="2" t="s">
        <v>1558</v>
      </c>
      <c r="L114" s="2" t="s">
        <v>1567</v>
      </c>
      <c r="M114" s="5" t="s">
        <v>1577</v>
      </c>
      <c r="N114" s="8" t="s">
        <v>1578</v>
      </c>
      <c r="O114" s="2">
        <f ca="1">DATEDIF(Addmisson[[#This Row],[Student_DOB]],TODAY(),"y")</f>
        <v>21</v>
      </c>
      <c r="P114" s="2" t="str">
        <f>TEXT(Addmisson[[#This Row],[Admission_Date]],"mmmm")</f>
        <v>May</v>
      </c>
      <c r="Q114" s="2">
        <f>YEAR(Addmisson[[#This Row],[Admission_Date]])</f>
        <v>2025</v>
      </c>
    </row>
    <row r="115" spans="1:17" x14ac:dyDescent="0.25">
      <c r="A115" s="7" t="s">
        <v>212</v>
      </c>
      <c r="B115" s="3">
        <v>45785</v>
      </c>
      <c r="C115" s="2" t="s">
        <v>661</v>
      </c>
      <c r="D115" s="2" t="s">
        <v>1175</v>
      </c>
      <c r="E115" s="3">
        <v>40056</v>
      </c>
      <c r="F115" s="2" t="s">
        <v>127</v>
      </c>
      <c r="G115" s="2" t="s">
        <v>127</v>
      </c>
      <c r="H115" s="2" t="s">
        <v>133</v>
      </c>
      <c r="I115" s="2" t="s">
        <v>1051</v>
      </c>
      <c r="J115" s="2" t="s">
        <v>1052</v>
      </c>
      <c r="K115" s="2" t="s">
        <v>1559</v>
      </c>
      <c r="L115" s="2" t="s">
        <v>1567</v>
      </c>
      <c r="M115" s="5" t="s">
        <v>1570</v>
      </c>
      <c r="N115" s="8" t="s">
        <v>1578</v>
      </c>
      <c r="O115" s="2">
        <f ca="1">DATEDIF(Addmisson[[#This Row],[Student_DOB]],TODAY(),"y")</f>
        <v>17</v>
      </c>
      <c r="P115" s="2" t="str">
        <f>TEXT(Addmisson[[#This Row],[Admission_Date]],"mmmm")</f>
        <v>May</v>
      </c>
      <c r="Q115" s="2">
        <f>YEAR(Addmisson[[#This Row],[Admission_Date]])</f>
        <v>2025</v>
      </c>
    </row>
    <row r="116" spans="1:17" x14ac:dyDescent="0.25">
      <c r="A116" s="7" t="s">
        <v>213</v>
      </c>
      <c r="B116" s="3">
        <v>45786</v>
      </c>
      <c r="C116" s="2" t="s">
        <v>662</v>
      </c>
      <c r="D116" s="2" t="s">
        <v>1176</v>
      </c>
      <c r="E116" s="3">
        <v>39613</v>
      </c>
      <c r="F116" s="2" t="s">
        <v>138</v>
      </c>
      <c r="G116" s="2" t="s">
        <v>138</v>
      </c>
      <c r="H116" s="2" t="s">
        <v>138</v>
      </c>
      <c r="I116" s="2" t="s">
        <v>1053</v>
      </c>
      <c r="J116" s="2" t="s">
        <v>1052</v>
      </c>
      <c r="K116" s="2" t="s">
        <v>1560</v>
      </c>
      <c r="L116" s="2" t="s">
        <v>1567</v>
      </c>
      <c r="M116" s="5" t="s">
        <v>1575</v>
      </c>
      <c r="N116" s="8" t="s">
        <v>1578</v>
      </c>
      <c r="O116" s="2">
        <f ca="1">DATEDIF(Addmisson[[#This Row],[Student_DOB]],TODAY(),"y")</f>
        <v>18</v>
      </c>
      <c r="P116" s="2" t="str">
        <f>TEXT(Addmisson[[#This Row],[Admission_Date]],"mmmm")</f>
        <v>May</v>
      </c>
      <c r="Q116" s="2">
        <f>YEAR(Addmisson[[#This Row],[Admission_Date]])</f>
        <v>2025</v>
      </c>
    </row>
    <row r="117" spans="1:17" x14ac:dyDescent="0.25">
      <c r="A117" s="7" t="s">
        <v>214</v>
      </c>
      <c r="B117" s="3">
        <v>45787</v>
      </c>
      <c r="C117" s="2" t="s">
        <v>663</v>
      </c>
      <c r="D117" s="2" t="s">
        <v>1177</v>
      </c>
      <c r="E117" s="3">
        <v>38263</v>
      </c>
      <c r="F117" s="2" t="s">
        <v>127</v>
      </c>
      <c r="G117" s="2" t="s">
        <v>127</v>
      </c>
      <c r="H117" s="2" t="s">
        <v>141</v>
      </c>
      <c r="I117" s="2" t="s">
        <v>1054</v>
      </c>
      <c r="J117" s="2" t="s">
        <v>1052</v>
      </c>
      <c r="K117" s="2" t="s">
        <v>1561</v>
      </c>
      <c r="L117" s="2" t="s">
        <v>1567</v>
      </c>
      <c r="M117" s="5" t="s">
        <v>1571</v>
      </c>
      <c r="N117" s="8" t="s">
        <v>1578</v>
      </c>
      <c r="O117" s="2">
        <f ca="1">DATEDIF(Addmisson[[#This Row],[Student_DOB]],TODAY(),"y")</f>
        <v>22</v>
      </c>
      <c r="P117" s="2" t="str">
        <f>TEXT(Addmisson[[#This Row],[Admission_Date]],"mmmm")</f>
        <v>May</v>
      </c>
      <c r="Q117" s="2">
        <f>YEAR(Addmisson[[#This Row],[Admission_Date]])</f>
        <v>2025</v>
      </c>
    </row>
    <row r="118" spans="1:17" x14ac:dyDescent="0.25">
      <c r="A118" s="7" t="s">
        <v>215</v>
      </c>
      <c r="B118" s="3">
        <v>45788</v>
      </c>
      <c r="C118" s="2" t="s">
        <v>664</v>
      </c>
      <c r="D118" s="2" t="s">
        <v>1178</v>
      </c>
      <c r="E118" s="3">
        <v>38374</v>
      </c>
      <c r="F118" s="2" t="s">
        <v>129</v>
      </c>
      <c r="G118" s="2" t="s">
        <v>129</v>
      </c>
      <c r="H118" s="2" t="s">
        <v>143</v>
      </c>
      <c r="I118" s="2" t="s">
        <v>1055</v>
      </c>
      <c r="J118" s="2" t="s">
        <v>1055</v>
      </c>
      <c r="K118" s="2" t="s">
        <v>1562</v>
      </c>
      <c r="L118" s="2" t="s">
        <v>1567</v>
      </c>
      <c r="M118" s="5" t="s">
        <v>1572</v>
      </c>
      <c r="N118" s="8" t="s">
        <v>1578</v>
      </c>
      <c r="O118" s="2">
        <f ca="1">DATEDIF(Addmisson[[#This Row],[Student_DOB]],TODAY(),"y")</f>
        <v>21</v>
      </c>
      <c r="P118" s="2" t="str">
        <f>TEXT(Addmisson[[#This Row],[Admission_Date]],"mmmm")</f>
        <v>May</v>
      </c>
      <c r="Q118" s="2">
        <f>YEAR(Addmisson[[#This Row],[Admission_Date]])</f>
        <v>2025</v>
      </c>
    </row>
    <row r="119" spans="1:17" x14ac:dyDescent="0.25">
      <c r="A119" s="7" t="s">
        <v>216</v>
      </c>
      <c r="B119" s="3">
        <v>45789</v>
      </c>
      <c r="C119" s="2" t="s">
        <v>665</v>
      </c>
      <c r="D119" s="2" t="s">
        <v>1179</v>
      </c>
      <c r="E119" s="3">
        <v>38315</v>
      </c>
      <c r="F119" s="2" t="s">
        <v>14</v>
      </c>
      <c r="G119" s="2" t="s">
        <v>14</v>
      </c>
      <c r="H119" s="2" t="s">
        <v>15</v>
      </c>
      <c r="I119" s="2" t="s">
        <v>16</v>
      </c>
      <c r="J119" s="2" t="s">
        <v>1056</v>
      </c>
      <c r="K119" s="2" t="s">
        <v>1563</v>
      </c>
      <c r="L119" s="2" t="s">
        <v>1567</v>
      </c>
      <c r="M119" s="5" t="s">
        <v>1573</v>
      </c>
      <c r="N119" s="8" t="s">
        <v>1578</v>
      </c>
      <c r="O119" s="2">
        <f ca="1">DATEDIF(Addmisson[[#This Row],[Student_DOB]],TODAY(),"y")</f>
        <v>21</v>
      </c>
      <c r="P119" s="2" t="str">
        <f>TEXT(Addmisson[[#This Row],[Admission_Date]],"mmmm")</f>
        <v>May</v>
      </c>
      <c r="Q119" s="2">
        <f>YEAR(Addmisson[[#This Row],[Admission_Date]])</f>
        <v>2025</v>
      </c>
    </row>
    <row r="120" spans="1:17" x14ac:dyDescent="0.25">
      <c r="A120" s="7" t="s">
        <v>217</v>
      </c>
      <c r="B120" s="3">
        <v>45790</v>
      </c>
      <c r="C120" s="2" t="s">
        <v>666</v>
      </c>
      <c r="D120" s="2" t="s">
        <v>1180</v>
      </c>
      <c r="E120" s="3">
        <v>38002</v>
      </c>
      <c r="F120" s="2" t="s">
        <v>145</v>
      </c>
      <c r="G120" s="2" t="s">
        <v>145</v>
      </c>
      <c r="H120" s="2" t="s">
        <v>145</v>
      </c>
      <c r="I120" s="2" t="s">
        <v>1057</v>
      </c>
      <c r="J120" s="2" t="s">
        <v>1058</v>
      </c>
      <c r="K120" s="2" t="s">
        <v>1564</v>
      </c>
      <c r="L120" s="2" t="s">
        <v>1567</v>
      </c>
      <c r="M120" s="5" t="s">
        <v>1574</v>
      </c>
      <c r="N120" s="8" t="s">
        <v>1578</v>
      </c>
      <c r="O120" s="2">
        <f ca="1">DATEDIF(Addmisson[[#This Row],[Student_DOB]],TODAY(),"y")</f>
        <v>22</v>
      </c>
      <c r="P120" s="2" t="str">
        <f>TEXT(Addmisson[[#This Row],[Admission_Date]],"mmmm")</f>
        <v>May</v>
      </c>
      <c r="Q120" s="2">
        <f>YEAR(Addmisson[[#This Row],[Admission_Date]])</f>
        <v>2025</v>
      </c>
    </row>
    <row r="121" spans="1:17" x14ac:dyDescent="0.25">
      <c r="A121" s="7" t="s">
        <v>218</v>
      </c>
      <c r="B121" s="3">
        <v>45791</v>
      </c>
      <c r="C121" s="2" t="s">
        <v>667</v>
      </c>
      <c r="D121" s="2" t="s">
        <v>1181</v>
      </c>
      <c r="E121" s="3">
        <v>38467</v>
      </c>
      <c r="F121" s="2" t="s">
        <v>127</v>
      </c>
      <c r="G121" s="2" t="s">
        <v>127</v>
      </c>
      <c r="H121" s="2" t="s">
        <v>144</v>
      </c>
      <c r="I121" s="2" t="s">
        <v>1059</v>
      </c>
      <c r="J121" s="2" t="s">
        <v>1059</v>
      </c>
      <c r="K121" s="2" t="s">
        <v>1565</v>
      </c>
      <c r="L121" s="2" t="s">
        <v>1567</v>
      </c>
      <c r="M121" s="5" t="s">
        <v>1576</v>
      </c>
      <c r="N121" s="8" t="s">
        <v>1578</v>
      </c>
      <c r="O121" s="2">
        <f ca="1">DATEDIF(Addmisson[[#This Row],[Student_DOB]],TODAY(),"y")</f>
        <v>21</v>
      </c>
      <c r="P121" s="2" t="str">
        <f>TEXT(Addmisson[[#This Row],[Admission_Date]],"mmmm")</f>
        <v>May</v>
      </c>
      <c r="Q121" s="2">
        <f>YEAR(Addmisson[[#This Row],[Admission_Date]])</f>
        <v>2025</v>
      </c>
    </row>
    <row r="122" spans="1:17" x14ac:dyDescent="0.25">
      <c r="A122" s="7" t="s">
        <v>219</v>
      </c>
      <c r="B122" s="3">
        <v>45792</v>
      </c>
      <c r="C122" s="2" t="s">
        <v>668</v>
      </c>
      <c r="D122" s="2" t="s">
        <v>1182</v>
      </c>
      <c r="E122" s="3">
        <v>38146</v>
      </c>
      <c r="F122" s="2" t="s">
        <v>129</v>
      </c>
      <c r="G122" s="2" t="s">
        <v>129</v>
      </c>
      <c r="H122" s="2" t="s">
        <v>147</v>
      </c>
      <c r="I122" s="2" t="s">
        <v>1060</v>
      </c>
      <c r="J122" s="2" t="s">
        <v>21</v>
      </c>
      <c r="K122" s="2" t="s">
        <v>1558</v>
      </c>
      <c r="L122" s="2" t="s">
        <v>1567</v>
      </c>
      <c r="M122" s="5" t="s">
        <v>1577</v>
      </c>
      <c r="N122" s="8" t="s">
        <v>1578</v>
      </c>
      <c r="O122" s="2">
        <f ca="1">DATEDIF(Addmisson[[#This Row],[Student_DOB]],TODAY(),"y")</f>
        <v>22</v>
      </c>
      <c r="P122" s="2" t="str">
        <f>TEXT(Addmisson[[#This Row],[Admission_Date]],"mmmm")</f>
        <v>May</v>
      </c>
      <c r="Q122" s="2">
        <f>YEAR(Addmisson[[#This Row],[Admission_Date]])</f>
        <v>2025</v>
      </c>
    </row>
    <row r="123" spans="1:17" x14ac:dyDescent="0.25">
      <c r="A123" s="7" t="s">
        <v>220</v>
      </c>
      <c r="B123" s="3">
        <v>45793</v>
      </c>
      <c r="C123" s="2" t="s">
        <v>669</v>
      </c>
      <c r="D123" s="2" t="s">
        <v>1183</v>
      </c>
      <c r="E123" s="3">
        <v>38402</v>
      </c>
      <c r="F123" s="2" t="s">
        <v>27</v>
      </c>
      <c r="G123" s="2" t="s">
        <v>27</v>
      </c>
      <c r="H123" s="2" t="s">
        <v>131</v>
      </c>
      <c r="I123" s="2" t="s">
        <v>1047</v>
      </c>
      <c r="J123" s="2" t="s">
        <v>1048</v>
      </c>
      <c r="K123" s="2" t="s">
        <v>1559</v>
      </c>
      <c r="L123" s="2" t="s">
        <v>1567</v>
      </c>
      <c r="M123" s="5" t="s">
        <v>1570</v>
      </c>
      <c r="N123" s="8" t="s">
        <v>1578</v>
      </c>
      <c r="O123" s="2">
        <f ca="1">DATEDIF(Addmisson[[#This Row],[Student_DOB]],TODAY(),"y")</f>
        <v>21</v>
      </c>
      <c r="P123" s="2" t="str">
        <f>TEXT(Addmisson[[#This Row],[Admission_Date]],"mmmm")</f>
        <v>May</v>
      </c>
      <c r="Q123" s="2">
        <f>YEAR(Addmisson[[#This Row],[Admission_Date]])</f>
        <v>2025</v>
      </c>
    </row>
    <row r="124" spans="1:17" x14ac:dyDescent="0.25">
      <c r="A124" s="7" t="s">
        <v>221</v>
      </c>
      <c r="B124" s="3">
        <v>45794</v>
      </c>
      <c r="C124" s="2" t="s">
        <v>670</v>
      </c>
      <c r="D124" s="2" t="s">
        <v>1184</v>
      </c>
      <c r="E124" s="3">
        <v>38073</v>
      </c>
      <c r="F124" s="2" t="s">
        <v>127</v>
      </c>
      <c r="G124" s="2" t="s">
        <v>127</v>
      </c>
      <c r="H124" s="2" t="s">
        <v>146</v>
      </c>
      <c r="I124" s="2" t="s">
        <v>1049</v>
      </c>
      <c r="J124" s="2" t="s">
        <v>1050</v>
      </c>
      <c r="K124" s="2" t="s">
        <v>1560</v>
      </c>
      <c r="L124" s="2" t="s">
        <v>1567</v>
      </c>
      <c r="M124" s="5" t="s">
        <v>1575</v>
      </c>
      <c r="N124" s="8" t="s">
        <v>1578</v>
      </c>
      <c r="O124" s="2">
        <f ca="1">DATEDIF(Addmisson[[#This Row],[Student_DOB]],TODAY(),"y")</f>
        <v>22</v>
      </c>
      <c r="P124" s="2" t="str">
        <f>TEXT(Addmisson[[#This Row],[Admission_Date]],"mmmm")</f>
        <v>May</v>
      </c>
      <c r="Q124" s="2">
        <f>YEAR(Addmisson[[#This Row],[Admission_Date]])</f>
        <v>2025</v>
      </c>
    </row>
    <row r="125" spans="1:17" x14ac:dyDescent="0.25">
      <c r="A125" s="7" t="s">
        <v>222</v>
      </c>
      <c r="B125" s="3">
        <v>45795</v>
      </c>
      <c r="C125" s="2" t="s">
        <v>671</v>
      </c>
      <c r="D125" s="2" t="s">
        <v>1185</v>
      </c>
      <c r="E125" s="3">
        <v>38575</v>
      </c>
      <c r="F125" s="2" t="s">
        <v>142</v>
      </c>
      <c r="G125" s="2" t="s">
        <v>142</v>
      </c>
      <c r="H125" s="2" t="s">
        <v>142</v>
      </c>
      <c r="I125" s="2" t="s">
        <v>1051</v>
      </c>
      <c r="J125" s="2" t="s">
        <v>1052</v>
      </c>
      <c r="K125" s="2" t="s">
        <v>1561</v>
      </c>
      <c r="L125" s="2" t="s">
        <v>1567</v>
      </c>
      <c r="M125" s="5" t="s">
        <v>1571</v>
      </c>
      <c r="N125" s="8" t="s">
        <v>1578</v>
      </c>
      <c r="O125" s="2">
        <f ca="1">DATEDIF(Addmisson[[#This Row],[Student_DOB]],TODAY(),"y")</f>
        <v>21</v>
      </c>
      <c r="P125" s="2" t="str">
        <f>TEXT(Addmisson[[#This Row],[Admission_Date]],"mmmm")</f>
        <v>May</v>
      </c>
      <c r="Q125" s="2">
        <f>YEAR(Addmisson[[#This Row],[Admission_Date]])</f>
        <v>2025</v>
      </c>
    </row>
    <row r="126" spans="1:17" x14ac:dyDescent="0.25">
      <c r="A126" s="7" t="s">
        <v>223</v>
      </c>
      <c r="B126" s="3">
        <v>45796</v>
      </c>
      <c r="C126" s="2" t="s">
        <v>672</v>
      </c>
      <c r="D126" s="2" t="s">
        <v>1186</v>
      </c>
      <c r="E126" s="3">
        <v>38629</v>
      </c>
      <c r="F126" s="2" t="s">
        <v>129</v>
      </c>
      <c r="G126" s="2" t="s">
        <v>129</v>
      </c>
      <c r="H126" s="2" t="s">
        <v>130</v>
      </c>
      <c r="I126" s="2" t="s">
        <v>1053</v>
      </c>
      <c r="J126" s="2" t="s">
        <v>1052</v>
      </c>
      <c r="K126" s="2" t="s">
        <v>1562</v>
      </c>
      <c r="L126" s="2" t="s">
        <v>1567</v>
      </c>
      <c r="M126" s="5" t="s">
        <v>1572</v>
      </c>
      <c r="N126" s="8" t="s">
        <v>1578</v>
      </c>
      <c r="O126" s="2">
        <f ca="1">DATEDIF(Addmisson[[#This Row],[Student_DOB]],TODAY(),"y")</f>
        <v>21</v>
      </c>
      <c r="P126" s="2" t="str">
        <f>TEXT(Addmisson[[#This Row],[Admission_Date]],"mmmm")</f>
        <v>May</v>
      </c>
      <c r="Q126" s="2">
        <f>YEAR(Addmisson[[#This Row],[Admission_Date]])</f>
        <v>2025</v>
      </c>
    </row>
    <row r="127" spans="1:17" x14ac:dyDescent="0.25">
      <c r="A127" s="7" t="s">
        <v>224</v>
      </c>
      <c r="B127" s="3">
        <v>45797</v>
      </c>
      <c r="C127" s="2" t="s">
        <v>673</v>
      </c>
      <c r="D127" s="2" t="s">
        <v>1187</v>
      </c>
      <c r="E127" s="3">
        <v>39590</v>
      </c>
      <c r="F127" s="2" t="s">
        <v>127</v>
      </c>
      <c r="G127" s="2" t="s">
        <v>127</v>
      </c>
      <c r="H127" s="2" t="s">
        <v>128</v>
      </c>
      <c r="I127" s="2" t="s">
        <v>1054</v>
      </c>
      <c r="J127" s="2" t="s">
        <v>1052</v>
      </c>
      <c r="K127" s="2" t="s">
        <v>1563</v>
      </c>
      <c r="L127" s="2" t="s">
        <v>1567</v>
      </c>
      <c r="M127" s="5" t="s">
        <v>1573</v>
      </c>
      <c r="N127" s="8" t="s">
        <v>1578</v>
      </c>
      <c r="O127" s="2">
        <f ca="1">DATEDIF(Addmisson[[#This Row],[Student_DOB]],TODAY(),"y")</f>
        <v>18</v>
      </c>
      <c r="P127" s="2" t="str">
        <f>TEXT(Addmisson[[#This Row],[Admission_Date]],"mmmm")</f>
        <v>May</v>
      </c>
      <c r="Q127" s="2">
        <f>YEAR(Addmisson[[#This Row],[Admission_Date]])</f>
        <v>2025</v>
      </c>
    </row>
    <row r="128" spans="1:17" x14ac:dyDescent="0.25">
      <c r="A128" s="7" t="s">
        <v>225</v>
      </c>
      <c r="B128" s="3">
        <v>45798</v>
      </c>
      <c r="C128" s="2" t="s">
        <v>674</v>
      </c>
      <c r="D128" s="2" t="s">
        <v>1188</v>
      </c>
      <c r="E128" s="3">
        <v>39276</v>
      </c>
      <c r="F128" s="2" t="s">
        <v>148</v>
      </c>
      <c r="G128" s="2" t="s">
        <v>148</v>
      </c>
      <c r="H128" s="2" t="s">
        <v>148</v>
      </c>
      <c r="I128" s="2" t="s">
        <v>1055</v>
      </c>
      <c r="J128" s="2" t="s">
        <v>1055</v>
      </c>
      <c r="K128" s="2" t="s">
        <v>1564</v>
      </c>
      <c r="L128" s="2" t="s">
        <v>1567</v>
      </c>
      <c r="M128" s="5" t="s">
        <v>1570</v>
      </c>
      <c r="N128" s="8" t="s">
        <v>1578</v>
      </c>
      <c r="O128" s="2">
        <f ca="1">DATEDIF(Addmisson[[#This Row],[Student_DOB]],TODAY(),"y")</f>
        <v>19</v>
      </c>
      <c r="P128" s="2" t="str">
        <f>TEXT(Addmisson[[#This Row],[Admission_Date]],"mmmm")</f>
        <v>May</v>
      </c>
      <c r="Q128" s="2">
        <f>YEAR(Addmisson[[#This Row],[Admission_Date]])</f>
        <v>2025</v>
      </c>
    </row>
    <row r="129" spans="1:17" x14ac:dyDescent="0.25">
      <c r="A129" s="7" t="s">
        <v>226</v>
      </c>
      <c r="B129" s="3">
        <v>45799</v>
      </c>
      <c r="C129" s="2" t="s">
        <v>675</v>
      </c>
      <c r="D129" s="2" t="s">
        <v>1189</v>
      </c>
      <c r="E129" s="3">
        <v>40147</v>
      </c>
      <c r="F129" s="2" t="s">
        <v>14</v>
      </c>
      <c r="G129" s="2" t="s">
        <v>14</v>
      </c>
      <c r="H129" s="2" t="s">
        <v>132</v>
      </c>
      <c r="I129" s="2" t="s">
        <v>16</v>
      </c>
      <c r="J129" s="2" t="s">
        <v>1056</v>
      </c>
      <c r="K129" s="2" t="s">
        <v>1565</v>
      </c>
      <c r="L129" s="2" t="s">
        <v>1567</v>
      </c>
      <c r="M129" s="5" t="s">
        <v>1575</v>
      </c>
      <c r="N129" s="8" t="s">
        <v>1578</v>
      </c>
      <c r="O129" s="2">
        <f ca="1">DATEDIF(Addmisson[[#This Row],[Student_DOB]],TODAY(),"y")</f>
        <v>16</v>
      </c>
      <c r="P129" s="2" t="str">
        <f>TEXT(Addmisson[[#This Row],[Admission_Date]],"mmmm")</f>
        <v>May</v>
      </c>
      <c r="Q129" s="2">
        <f>YEAR(Addmisson[[#This Row],[Admission_Date]])</f>
        <v>2025</v>
      </c>
    </row>
    <row r="130" spans="1:17" x14ac:dyDescent="0.25">
      <c r="A130" s="7" t="s">
        <v>227</v>
      </c>
      <c r="B130" s="3">
        <v>45800</v>
      </c>
      <c r="C130" s="2" t="s">
        <v>676</v>
      </c>
      <c r="D130" s="2" t="s">
        <v>1190</v>
      </c>
      <c r="E130" s="3">
        <v>38023</v>
      </c>
      <c r="F130" s="2" t="s">
        <v>127</v>
      </c>
      <c r="G130" s="2" t="s">
        <v>127</v>
      </c>
      <c r="H130" s="2" t="s">
        <v>133</v>
      </c>
      <c r="I130" s="2" t="s">
        <v>1057</v>
      </c>
      <c r="J130" s="2" t="s">
        <v>1058</v>
      </c>
      <c r="K130" s="2" t="s">
        <v>1558</v>
      </c>
      <c r="L130" s="2" t="s">
        <v>1567</v>
      </c>
      <c r="M130" s="5" t="s">
        <v>1571</v>
      </c>
      <c r="N130" s="8" t="s">
        <v>1578</v>
      </c>
      <c r="O130" s="2">
        <f ca="1">DATEDIF(Addmisson[[#This Row],[Student_DOB]],TODAY(),"y")</f>
        <v>22</v>
      </c>
      <c r="P130" s="2" t="str">
        <f>TEXT(Addmisson[[#This Row],[Admission_Date]],"mmmm")</f>
        <v>May</v>
      </c>
      <c r="Q130" s="2">
        <f>YEAR(Addmisson[[#This Row],[Admission_Date]])</f>
        <v>2025</v>
      </c>
    </row>
    <row r="131" spans="1:17" x14ac:dyDescent="0.25">
      <c r="A131" s="7" t="s">
        <v>228</v>
      </c>
      <c r="B131" s="3">
        <v>45801</v>
      </c>
      <c r="C131" s="2" t="s">
        <v>677</v>
      </c>
      <c r="D131" s="2" t="s">
        <v>1191</v>
      </c>
      <c r="E131" s="3">
        <v>38612</v>
      </c>
      <c r="F131" s="2" t="s">
        <v>138</v>
      </c>
      <c r="G131" s="2" t="s">
        <v>138</v>
      </c>
      <c r="H131" s="2" t="s">
        <v>138</v>
      </c>
      <c r="I131" s="2" t="s">
        <v>1059</v>
      </c>
      <c r="J131" s="2" t="s">
        <v>1059</v>
      </c>
      <c r="K131" s="2" t="s">
        <v>1559</v>
      </c>
      <c r="L131" s="2" t="s">
        <v>1567</v>
      </c>
      <c r="M131" s="5" t="s">
        <v>1572</v>
      </c>
      <c r="N131" s="8" t="s">
        <v>1578</v>
      </c>
      <c r="O131" s="2">
        <f ca="1">DATEDIF(Addmisson[[#This Row],[Student_DOB]],TODAY(),"y")</f>
        <v>21</v>
      </c>
      <c r="P131" s="2" t="str">
        <f>TEXT(Addmisson[[#This Row],[Admission_Date]],"mmmm")</f>
        <v>May</v>
      </c>
      <c r="Q131" s="2">
        <f>YEAR(Addmisson[[#This Row],[Admission_Date]])</f>
        <v>2025</v>
      </c>
    </row>
    <row r="132" spans="1:17" x14ac:dyDescent="0.25">
      <c r="A132" s="7" t="s">
        <v>229</v>
      </c>
      <c r="B132" s="3">
        <v>45802</v>
      </c>
      <c r="C132" s="2" t="s">
        <v>678</v>
      </c>
      <c r="D132" s="2" t="s">
        <v>1192</v>
      </c>
      <c r="E132" s="3">
        <v>38345</v>
      </c>
      <c r="F132" s="2" t="s">
        <v>127</v>
      </c>
      <c r="G132" s="2" t="s">
        <v>127</v>
      </c>
      <c r="H132" s="2" t="s">
        <v>141</v>
      </c>
      <c r="I132" s="2" t="s">
        <v>1060</v>
      </c>
      <c r="J132" s="2" t="s">
        <v>21</v>
      </c>
      <c r="K132" s="2" t="s">
        <v>1560</v>
      </c>
      <c r="L132" s="2" t="s">
        <v>1567</v>
      </c>
      <c r="M132" s="5" t="s">
        <v>1573</v>
      </c>
      <c r="N132" s="8" t="s">
        <v>1578</v>
      </c>
      <c r="O132" s="2">
        <f ca="1">DATEDIF(Addmisson[[#This Row],[Student_DOB]],TODAY(),"y")</f>
        <v>21</v>
      </c>
      <c r="P132" s="2" t="str">
        <f>TEXT(Addmisson[[#This Row],[Admission_Date]],"mmmm")</f>
        <v>May</v>
      </c>
      <c r="Q132" s="2">
        <f>YEAR(Addmisson[[#This Row],[Admission_Date]])</f>
        <v>2025</v>
      </c>
    </row>
    <row r="133" spans="1:17" x14ac:dyDescent="0.25">
      <c r="A133" s="7" t="s">
        <v>230</v>
      </c>
      <c r="B133" s="3">
        <v>45803</v>
      </c>
      <c r="C133" s="2" t="s">
        <v>679</v>
      </c>
      <c r="D133" s="2" t="s">
        <v>1193</v>
      </c>
      <c r="E133" s="3">
        <v>38420</v>
      </c>
      <c r="F133" s="2" t="s">
        <v>138</v>
      </c>
      <c r="G133" s="2" t="s">
        <v>138</v>
      </c>
      <c r="H133" s="2" t="s">
        <v>138</v>
      </c>
      <c r="I133" s="2" t="s">
        <v>1047</v>
      </c>
      <c r="J133" s="2" t="s">
        <v>1048</v>
      </c>
      <c r="K133" s="2" t="s">
        <v>1561</v>
      </c>
      <c r="L133" s="2" t="s">
        <v>1567</v>
      </c>
      <c r="M133" s="5" t="s">
        <v>1574</v>
      </c>
      <c r="N133" s="8" t="s">
        <v>1578</v>
      </c>
      <c r="O133" s="2">
        <f ca="1">DATEDIF(Addmisson[[#This Row],[Student_DOB]],TODAY(),"y")</f>
        <v>21</v>
      </c>
      <c r="P133" s="2" t="str">
        <f>TEXT(Addmisson[[#This Row],[Admission_Date]],"mmmm")</f>
        <v>May</v>
      </c>
      <c r="Q133" s="2">
        <f>YEAR(Addmisson[[#This Row],[Admission_Date]])</f>
        <v>2025</v>
      </c>
    </row>
    <row r="134" spans="1:17" x14ac:dyDescent="0.25">
      <c r="A134" s="7" t="s">
        <v>231</v>
      </c>
      <c r="B134" s="3">
        <v>45804</v>
      </c>
      <c r="C134" s="2" t="s">
        <v>680</v>
      </c>
      <c r="D134" s="2" t="s">
        <v>1194</v>
      </c>
      <c r="E134" s="3">
        <v>38122</v>
      </c>
      <c r="F134" s="2" t="s">
        <v>127</v>
      </c>
      <c r="G134" s="2" t="s">
        <v>127</v>
      </c>
      <c r="H134" s="2" t="s">
        <v>141</v>
      </c>
      <c r="I134" s="2" t="s">
        <v>1049</v>
      </c>
      <c r="J134" s="2" t="s">
        <v>1050</v>
      </c>
      <c r="K134" s="2" t="s">
        <v>1562</v>
      </c>
      <c r="L134" s="2" t="s">
        <v>1567</v>
      </c>
      <c r="M134" s="5" t="s">
        <v>1576</v>
      </c>
      <c r="N134" s="8" t="s">
        <v>1578</v>
      </c>
      <c r="O134" s="2">
        <f ca="1">DATEDIF(Addmisson[[#This Row],[Student_DOB]],TODAY(),"y")</f>
        <v>22</v>
      </c>
      <c r="P134" s="2" t="str">
        <f>TEXT(Addmisson[[#This Row],[Admission_Date]],"mmmm")</f>
        <v>May</v>
      </c>
      <c r="Q134" s="2">
        <f>YEAR(Addmisson[[#This Row],[Admission_Date]])</f>
        <v>2025</v>
      </c>
    </row>
    <row r="135" spans="1:17" x14ac:dyDescent="0.25">
      <c r="A135" s="7" t="s">
        <v>232</v>
      </c>
      <c r="B135" s="3">
        <v>45805</v>
      </c>
      <c r="C135" s="2" t="s">
        <v>681</v>
      </c>
      <c r="D135" s="2" t="s">
        <v>1195</v>
      </c>
      <c r="E135" s="3">
        <v>38592</v>
      </c>
      <c r="F135" s="2" t="s">
        <v>129</v>
      </c>
      <c r="G135" s="2" t="s">
        <v>129</v>
      </c>
      <c r="H135" s="2" t="s">
        <v>143</v>
      </c>
      <c r="I135" s="2" t="s">
        <v>1051</v>
      </c>
      <c r="J135" s="2" t="s">
        <v>1052</v>
      </c>
      <c r="K135" s="2" t="s">
        <v>1563</v>
      </c>
      <c r="L135" s="2" t="s">
        <v>1567</v>
      </c>
      <c r="M135" s="5" t="s">
        <v>1577</v>
      </c>
      <c r="N135" s="8" t="s">
        <v>1578</v>
      </c>
      <c r="O135" s="2">
        <f ca="1">DATEDIF(Addmisson[[#This Row],[Student_DOB]],TODAY(),"y")</f>
        <v>21</v>
      </c>
      <c r="P135" s="2" t="str">
        <f>TEXT(Addmisson[[#This Row],[Admission_Date]],"mmmm")</f>
        <v>May</v>
      </c>
      <c r="Q135" s="2">
        <f>YEAR(Addmisson[[#This Row],[Admission_Date]])</f>
        <v>2025</v>
      </c>
    </row>
    <row r="136" spans="1:17" x14ac:dyDescent="0.25">
      <c r="A136" s="7" t="s">
        <v>233</v>
      </c>
      <c r="B136" s="3">
        <v>45806</v>
      </c>
      <c r="C136" s="2" t="s">
        <v>682</v>
      </c>
      <c r="D136" s="2" t="s">
        <v>1196</v>
      </c>
      <c r="E136" s="3">
        <v>38809</v>
      </c>
      <c r="F136" s="2" t="s">
        <v>14</v>
      </c>
      <c r="G136" s="2" t="s">
        <v>14</v>
      </c>
      <c r="H136" s="2" t="s">
        <v>15</v>
      </c>
      <c r="I136" s="2" t="s">
        <v>1053</v>
      </c>
      <c r="J136" s="2" t="s">
        <v>1052</v>
      </c>
      <c r="K136" s="2" t="s">
        <v>1564</v>
      </c>
      <c r="L136" s="2" t="s">
        <v>1567</v>
      </c>
      <c r="M136" s="5" t="s">
        <v>1570</v>
      </c>
      <c r="N136" s="8" t="s">
        <v>1578</v>
      </c>
      <c r="O136" s="2">
        <f ca="1">DATEDIF(Addmisson[[#This Row],[Student_DOB]],TODAY(),"y")</f>
        <v>20</v>
      </c>
      <c r="P136" s="2" t="str">
        <f>TEXT(Addmisson[[#This Row],[Admission_Date]],"mmmm")</f>
        <v>May</v>
      </c>
      <c r="Q136" s="2">
        <f>YEAR(Addmisson[[#This Row],[Admission_Date]])</f>
        <v>2025</v>
      </c>
    </row>
    <row r="137" spans="1:17" x14ac:dyDescent="0.25">
      <c r="A137" s="7" t="s">
        <v>234</v>
      </c>
      <c r="B137" s="3">
        <v>45807</v>
      </c>
      <c r="C137" s="2" t="s">
        <v>683</v>
      </c>
      <c r="D137" s="2" t="s">
        <v>1197</v>
      </c>
      <c r="E137" s="3">
        <v>38646</v>
      </c>
      <c r="F137" s="2" t="s">
        <v>145</v>
      </c>
      <c r="G137" s="2" t="s">
        <v>145</v>
      </c>
      <c r="H137" s="2" t="s">
        <v>145</v>
      </c>
      <c r="I137" s="2" t="s">
        <v>1054</v>
      </c>
      <c r="J137" s="2" t="s">
        <v>1052</v>
      </c>
      <c r="K137" s="2" t="s">
        <v>1565</v>
      </c>
      <c r="L137" s="2" t="s">
        <v>1567</v>
      </c>
      <c r="M137" s="5" t="s">
        <v>1575</v>
      </c>
      <c r="N137" s="8" t="s">
        <v>1578</v>
      </c>
      <c r="O137" s="2">
        <f ca="1">DATEDIF(Addmisson[[#This Row],[Student_DOB]],TODAY(),"y")</f>
        <v>20</v>
      </c>
      <c r="P137" s="2" t="str">
        <f>TEXT(Addmisson[[#This Row],[Admission_Date]],"mmmm")</f>
        <v>May</v>
      </c>
      <c r="Q137" s="2">
        <f>YEAR(Addmisson[[#This Row],[Admission_Date]])</f>
        <v>2025</v>
      </c>
    </row>
    <row r="138" spans="1:17" x14ac:dyDescent="0.25">
      <c r="A138" s="7" t="s">
        <v>235</v>
      </c>
      <c r="B138" s="3">
        <v>45808</v>
      </c>
      <c r="C138" s="2" t="s">
        <v>684</v>
      </c>
      <c r="D138" s="2" t="s">
        <v>1198</v>
      </c>
      <c r="E138" s="3">
        <v>38150</v>
      </c>
      <c r="F138" s="2" t="s">
        <v>127</v>
      </c>
      <c r="G138" s="2" t="s">
        <v>127</v>
      </c>
      <c r="H138" s="2" t="s">
        <v>144</v>
      </c>
      <c r="I138" s="2" t="s">
        <v>1055</v>
      </c>
      <c r="J138" s="2" t="s">
        <v>1055</v>
      </c>
      <c r="K138" s="2" t="s">
        <v>1558</v>
      </c>
      <c r="L138" s="2" t="s">
        <v>1567</v>
      </c>
      <c r="M138" s="5" t="s">
        <v>1571</v>
      </c>
      <c r="N138" s="8" t="s">
        <v>1578</v>
      </c>
      <c r="O138" s="2">
        <f ca="1">DATEDIF(Addmisson[[#This Row],[Student_DOB]],TODAY(),"y")</f>
        <v>22</v>
      </c>
      <c r="P138" s="2" t="str">
        <f>TEXT(Addmisson[[#This Row],[Admission_Date]],"mmmm")</f>
        <v>May</v>
      </c>
      <c r="Q138" s="2">
        <f>YEAR(Addmisson[[#This Row],[Admission_Date]])</f>
        <v>2025</v>
      </c>
    </row>
    <row r="139" spans="1:17" x14ac:dyDescent="0.25">
      <c r="A139" s="7" t="s">
        <v>236</v>
      </c>
      <c r="B139" s="3">
        <v>45809</v>
      </c>
      <c r="C139" s="2" t="s">
        <v>685</v>
      </c>
      <c r="D139" s="2" t="s">
        <v>1199</v>
      </c>
      <c r="E139" s="3">
        <v>38359</v>
      </c>
      <c r="F139" s="2" t="s">
        <v>129</v>
      </c>
      <c r="G139" s="2" t="s">
        <v>129</v>
      </c>
      <c r="H139" s="2" t="s">
        <v>147</v>
      </c>
      <c r="I139" s="2" t="s">
        <v>16</v>
      </c>
      <c r="J139" s="2" t="s">
        <v>1056</v>
      </c>
      <c r="K139" s="2" t="s">
        <v>1559</v>
      </c>
      <c r="L139" s="2" t="s">
        <v>1567</v>
      </c>
      <c r="M139" s="5" t="s">
        <v>1572</v>
      </c>
      <c r="N139" s="8" t="s">
        <v>1578</v>
      </c>
      <c r="O139" s="2">
        <f ca="1">DATEDIF(Addmisson[[#This Row],[Student_DOB]],TODAY(),"y")</f>
        <v>21</v>
      </c>
      <c r="P139" s="2" t="str">
        <f>TEXT(Addmisson[[#This Row],[Admission_Date]],"mmmm")</f>
        <v>June</v>
      </c>
      <c r="Q139" s="2">
        <f>YEAR(Addmisson[[#This Row],[Admission_Date]])</f>
        <v>2025</v>
      </c>
    </row>
    <row r="140" spans="1:17" x14ac:dyDescent="0.25">
      <c r="A140" s="7" t="s">
        <v>237</v>
      </c>
      <c r="B140" s="3">
        <v>45810</v>
      </c>
      <c r="C140" s="2" t="s">
        <v>686</v>
      </c>
      <c r="D140" s="2" t="s">
        <v>1200</v>
      </c>
      <c r="E140" s="3">
        <v>39404</v>
      </c>
      <c r="F140" s="2" t="s">
        <v>27</v>
      </c>
      <c r="G140" s="2" t="s">
        <v>27</v>
      </c>
      <c r="H140" s="2" t="s">
        <v>131</v>
      </c>
      <c r="I140" s="2" t="s">
        <v>1057</v>
      </c>
      <c r="J140" s="2" t="s">
        <v>1058</v>
      </c>
      <c r="K140" s="2" t="s">
        <v>1560</v>
      </c>
      <c r="L140" s="2" t="s">
        <v>1567</v>
      </c>
      <c r="M140" s="5" t="s">
        <v>1573</v>
      </c>
      <c r="N140" s="8" t="s">
        <v>1578</v>
      </c>
      <c r="O140" s="2">
        <f ca="1">DATEDIF(Addmisson[[#This Row],[Student_DOB]],TODAY(),"y")</f>
        <v>18</v>
      </c>
      <c r="P140" s="2" t="str">
        <f>TEXT(Addmisson[[#This Row],[Admission_Date]],"mmmm")</f>
        <v>June</v>
      </c>
      <c r="Q140" s="2">
        <f>YEAR(Addmisson[[#This Row],[Admission_Date]])</f>
        <v>2025</v>
      </c>
    </row>
    <row r="141" spans="1:17" x14ac:dyDescent="0.25">
      <c r="A141" s="7" t="s">
        <v>238</v>
      </c>
      <c r="B141" s="3">
        <v>45811</v>
      </c>
      <c r="C141" s="2" t="s">
        <v>687</v>
      </c>
      <c r="D141" s="2" t="s">
        <v>1201</v>
      </c>
      <c r="E141" s="3">
        <v>38559</v>
      </c>
      <c r="F141" s="2" t="s">
        <v>127</v>
      </c>
      <c r="G141" s="2" t="s">
        <v>127</v>
      </c>
      <c r="H141" s="2" t="s">
        <v>146</v>
      </c>
      <c r="I141" s="2" t="s">
        <v>1059</v>
      </c>
      <c r="J141" s="2" t="s">
        <v>1059</v>
      </c>
      <c r="K141" s="2" t="s">
        <v>1561</v>
      </c>
      <c r="L141" s="2" t="s">
        <v>1567</v>
      </c>
      <c r="M141" s="5" t="s">
        <v>1574</v>
      </c>
      <c r="N141" s="8" t="s">
        <v>1578</v>
      </c>
      <c r="O141" s="2">
        <f ca="1">DATEDIF(Addmisson[[#This Row],[Student_DOB]],TODAY(),"y")</f>
        <v>21</v>
      </c>
      <c r="P141" s="2" t="str">
        <f>TEXT(Addmisson[[#This Row],[Admission_Date]],"mmmm")</f>
        <v>June</v>
      </c>
      <c r="Q141" s="2">
        <f>YEAR(Addmisson[[#This Row],[Admission_Date]])</f>
        <v>2025</v>
      </c>
    </row>
    <row r="142" spans="1:17" x14ac:dyDescent="0.25">
      <c r="A142" s="7" t="s">
        <v>239</v>
      </c>
      <c r="B142" s="3">
        <v>45812</v>
      </c>
      <c r="C142" s="2" t="s">
        <v>688</v>
      </c>
      <c r="D142" s="2" t="s">
        <v>1202</v>
      </c>
      <c r="E142" s="3">
        <v>38779</v>
      </c>
      <c r="F142" s="2" t="s">
        <v>142</v>
      </c>
      <c r="G142" s="2" t="s">
        <v>142</v>
      </c>
      <c r="H142" s="2" t="s">
        <v>142</v>
      </c>
      <c r="I142" s="2" t="s">
        <v>1060</v>
      </c>
      <c r="J142" s="2" t="s">
        <v>21</v>
      </c>
      <c r="K142" s="2" t="s">
        <v>1562</v>
      </c>
      <c r="L142" s="2" t="s">
        <v>1567</v>
      </c>
      <c r="M142" s="5" t="s">
        <v>1576</v>
      </c>
      <c r="N142" s="8" t="s">
        <v>1578</v>
      </c>
      <c r="O142" s="2">
        <f ca="1">DATEDIF(Addmisson[[#This Row],[Student_DOB]],TODAY(),"y")</f>
        <v>20</v>
      </c>
      <c r="P142" s="2" t="str">
        <f>TEXT(Addmisson[[#This Row],[Admission_Date]],"mmmm")</f>
        <v>June</v>
      </c>
      <c r="Q142" s="2">
        <f>YEAR(Addmisson[[#This Row],[Admission_Date]])</f>
        <v>2025</v>
      </c>
    </row>
    <row r="143" spans="1:17" x14ac:dyDescent="0.25">
      <c r="A143" s="7" t="s">
        <v>240</v>
      </c>
      <c r="B143" s="3">
        <v>45813</v>
      </c>
      <c r="C143" s="2" t="s">
        <v>689</v>
      </c>
      <c r="D143" s="2" t="s">
        <v>1203</v>
      </c>
      <c r="E143" s="3">
        <v>38700</v>
      </c>
      <c r="F143" s="2" t="s">
        <v>129</v>
      </c>
      <c r="G143" s="2" t="s">
        <v>129</v>
      </c>
      <c r="H143" s="2" t="s">
        <v>130</v>
      </c>
      <c r="I143" s="2" t="s">
        <v>1047</v>
      </c>
      <c r="J143" s="2" t="s">
        <v>1048</v>
      </c>
      <c r="K143" s="2" t="s">
        <v>1563</v>
      </c>
      <c r="L143" s="2" t="s">
        <v>1567</v>
      </c>
      <c r="M143" s="5" t="s">
        <v>1577</v>
      </c>
      <c r="N143" s="8" t="s">
        <v>1578</v>
      </c>
      <c r="O143" s="2">
        <f ca="1">DATEDIF(Addmisson[[#This Row],[Student_DOB]],TODAY(),"y")</f>
        <v>20</v>
      </c>
      <c r="P143" s="2" t="str">
        <f>TEXT(Addmisson[[#This Row],[Admission_Date]],"mmmm")</f>
        <v>June</v>
      </c>
      <c r="Q143" s="2">
        <f>YEAR(Addmisson[[#This Row],[Admission_Date]])</f>
        <v>2025</v>
      </c>
    </row>
    <row r="144" spans="1:17" x14ac:dyDescent="0.25">
      <c r="A144" s="7" t="s">
        <v>241</v>
      </c>
      <c r="B144" s="3">
        <v>45814</v>
      </c>
      <c r="C144" s="2" t="s">
        <v>690</v>
      </c>
      <c r="D144" s="2" t="s">
        <v>1204</v>
      </c>
      <c r="E144" s="3">
        <v>39720</v>
      </c>
      <c r="F144" s="2" t="s">
        <v>127</v>
      </c>
      <c r="G144" s="2" t="s">
        <v>127</v>
      </c>
      <c r="H144" s="2" t="s">
        <v>128</v>
      </c>
      <c r="I144" s="2" t="s">
        <v>1049</v>
      </c>
      <c r="J144" s="2" t="s">
        <v>1050</v>
      </c>
      <c r="K144" s="2" t="s">
        <v>1564</v>
      </c>
      <c r="L144" s="2" t="s">
        <v>1567</v>
      </c>
      <c r="M144" s="5" t="s">
        <v>1570</v>
      </c>
      <c r="N144" s="8" t="s">
        <v>1578</v>
      </c>
      <c r="O144" s="2">
        <f ca="1">DATEDIF(Addmisson[[#This Row],[Student_DOB]],TODAY(),"y")</f>
        <v>18</v>
      </c>
      <c r="P144" s="2" t="str">
        <f>TEXT(Addmisson[[#This Row],[Admission_Date]],"mmmm")</f>
        <v>June</v>
      </c>
      <c r="Q144" s="2">
        <f>YEAR(Addmisson[[#This Row],[Admission_Date]])</f>
        <v>2025</v>
      </c>
    </row>
    <row r="145" spans="1:17" x14ac:dyDescent="0.25">
      <c r="A145" s="7" t="s">
        <v>242</v>
      </c>
      <c r="B145" s="3">
        <v>45815</v>
      </c>
      <c r="C145" s="2" t="s">
        <v>691</v>
      </c>
      <c r="D145" s="2" t="s">
        <v>1205</v>
      </c>
      <c r="E145" s="3">
        <v>38508</v>
      </c>
      <c r="F145" s="2" t="s">
        <v>148</v>
      </c>
      <c r="G145" s="2" t="s">
        <v>148</v>
      </c>
      <c r="H145" s="2" t="s">
        <v>148</v>
      </c>
      <c r="I145" s="2" t="s">
        <v>1051</v>
      </c>
      <c r="J145" s="2" t="s">
        <v>1052</v>
      </c>
      <c r="K145" s="2" t="s">
        <v>1565</v>
      </c>
      <c r="L145" s="2" t="s">
        <v>1567</v>
      </c>
      <c r="M145" s="5" t="s">
        <v>1575</v>
      </c>
      <c r="N145" s="8" t="s">
        <v>1578</v>
      </c>
      <c r="O145" s="2">
        <f ca="1">DATEDIF(Addmisson[[#This Row],[Student_DOB]],TODAY(),"y")</f>
        <v>21</v>
      </c>
      <c r="P145" s="2" t="str">
        <f>TEXT(Addmisson[[#This Row],[Admission_Date]],"mmmm")</f>
        <v>June</v>
      </c>
      <c r="Q145" s="2">
        <f>YEAR(Addmisson[[#This Row],[Admission_Date]])</f>
        <v>2025</v>
      </c>
    </row>
    <row r="146" spans="1:17" x14ac:dyDescent="0.25">
      <c r="A146" s="7" t="s">
        <v>243</v>
      </c>
      <c r="B146" s="3">
        <v>45816</v>
      </c>
      <c r="C146" s="2" t="s">
        <v>692</v>
      </c>
      <c r="D146" s="2" t="s">
        <v>1206</v>
      </c>
      <c r="E146" s="3">
        <v>38037</v>
      </c>
      <c r="F146" s="2" t="s">
        <v>14</v>
      </c>
      <c r="G146" s="2" t="s">
        <v>14</v>
      </c>
      <c r="H146" s="2" t="s">
        <v>132</v>
      </c>
      <c r="I146" s="2" t="s">
        <v>1053</v>
      </c>
      <c r="J146" s="2" t="s">
        <v>1052</v>
      </c>
      <c r="K146" s="2" t="s">
        <v>1558</v>
      </c>
      <c r="L146" s="2" t="s">
        <v>1567</v>
      </c>
      <c r="M146" s="5" t="s">
        <v>1571</v>
      </c>
      <c r="N146" s="8" t="s">
        <v>1578</v>
      </c>
      <c r="O146" s="2">
        <f ca="1">DATEDIF(Addmisson[[#This Row],[Student_DOB]],TODAY(),"y")</f>
        <v>22</v>
      </c>
      <c r="P146" s="2" t="str">
        <f>TEXT(Addmisson[[#This Row],[Admission_Date]],"mmmm")</f>
        <v>June</v>
      </c>
      <c r="Q146" s="2">
        <f>YEAR(Addmisson[[#This Row],[Admission_Date]])</f>
        <v>2025</v>
      </c>
    </row>
    <row r="147" spans="1:17" x14ac:dyDescent="0.25">
      <c r="A147" s="7" t="s">
        <v>244</v>
      </c>
      <c r="B147" s="3">
        <v>45817</v>
      </c>
      <c r="C147" s="2" t="s">
        <v>693</v>
      </c>
      <c r="D147" s="2" t="s">
        <v>1207</v>
      </c>
      <c r="E147" s="3">
        <v>38580</v>
      </c>
      <c r="F147" s="2" t="s">
        <v>127</v>
      </c>
      <c r="G147" s="2" t="s">
        <v>127</v>
      </c>
      <c r="H147" s="2" t="s">
        <v>133</v>
      </c>
      <c r="I147" s="2" t="s">
        <v>1054</v>
      </c>
      <c r="J147" s="2" t="s">
        <v>1052</v>
      </c>
      <c r="K147" s="2" t="s">
        <v>1559</v>
      </c>
      <c r="L147" s="2" t="s">
        <v>1568</v>
      </c>
      <c r="M147" s="5" t="s">
        <v>1572</v>
      </c>
      <c r="N147" s="8" t="s">
        <v>1578</v>
      </c>
      <c r="O147" s="2">
        <f ca="1">DATEDIF(Addmisson[[#This Row],[Student_DOB]],TODAY(),"y")</f>
        <v>21</v>
      </c>
      <c r="P147" s="2" t="str">
        <f>TEXT(Addmisson[[#This Row],[Admission_Date]],"mmmm")</f>
        <v>June</v>
      </c>
      <c r="Q147" s="2">
        <f>YEAR(Addmisson[[#This Row],[Admission_Date]])</f>
        <v>2025</v>
      </c>
    </row>
    <row r="148" spans="1:17" x14ac:dyDescent="0.25">
      <c r="A148" s="7" t="s">
        <v>245</v>
      </c>
      <c r="B148" s="3">
        <v>45818</v>
      </c>
      <c r="C148" s="2" t="s">
        <v>694</v>
      </c>
      <c r="D148" s="2" t="s">
        <v>1208</v>
      </c>
      <c r="E148" s="3">
        <v>39913</v>
      </c>
      <c r="F148" s="2" t="s">
        <v>138</v>
      </c>
      <c r="G148" s="2" t="s">
        <v>138</v>
      </c>
      <c r="H148" s="2" t="s">
        <v>138</v>
      </c>
      <c r="I148" s="2" t="s">
        <v>1055</v>
      </c>
      <c r="J148" s="2" t="s">
        <v>1055</v>
      </c>
      <c r="K148" s="2" t="s">
        <v>1560</v>
      </c>
      <c r="L148" s="2" t="s">
        <v>1567</v>
      </c>
      <c r="M148" s="5" t="s">
        <v>1573</v>
      </c>
      <c r="N148" s="8" t="s">
        <v>1578</v>
      </c>
      <c r="O148" s="2">
        <f ca="1">DATEDIF(Addmisson[[#This Row],[Student_DOB]],TODAY(),"y")</f>
        <v>17</v>
      </c>
      <c r="P148" s="2" t="str">
        <f>TEXT(Addmisson[[#This Row],[Admission_Date]],"mmmm")</f>
        <v>June</v>
      </c>
      <c r="Q148" s="2">
        <f>YEAR(Addmisson[[#This Row],[Admission_Date]])</f>
        <v>2025</v>
      </c>
    </row>
    <row r="149" spans="1:17" x14ac:dyDescent="0.25">
      <c r="A149" s="7" t="s">
        <v>246</v>
      </c>
      <c r="B149" s="3">
        <v>45819</v>
      </c>
      <c r="C149" s="2" t="s">
        <v>695</v>
      </c>
      <c r="D149" s="2" t="s">
        <v>1209</v>
      </c>
      <c r="E149" s="3">
        <v>38679</v>
      </c>
      <c r="F149" s="2" t="s">
        <v>127</v>
      </c>
      <c r="G149" s="2" t="s">
        <v>127</v>
      </c>
      <c r="H149" s="2" t="s">
        <v>141</v>
      </c>
      <c r="I149" s="2" t="s">
        <v>16</v>
      </c>
      <c r="J149" s="2" t="s">
        <v>1056</v>
      </c>
      <c r="K149" s="2" t="s">
        <v>1561</v>
      </c>
      <c r="L149" s="2" t="s">
        <v>1567</v>
      </c>
      <c r="M149" s="5" t="s">
        <v>1570</v>
      </c>
      <c r="N149" s="8" t="s">
        <v>1578</v>
      </c>
      <c r="O149" s="2">
        <f ca="1">DATEDIF(Addmisson[[#This Row],[Student_DOB]],TODAY(),"y")</f>
        <v>20</v>
      </c>
      <c r="P149" s="2" t="str">
        <f>TEXT(Addmisson[[#This Row],[Admission_Date]],"mmmm")</f>
        <v>June</v>
      </c>
      <c r="Q149" s="2">
        <f>YEAR(Addmisson[[#This Row],[Admission_Date]])</f>
        <v>2025</v>
      </c>
    </row>
    <row r="150" spans="1:17" x14ac:dyDescent="0.25">
      <c r="A150" s="7" t="s">
        <v>247</v>
      </c>
      <c r="B150" s="3">
        <v>45820</v>
      </c>
      <c r="C150" s="2" t="s">
        <v>696</v>
      </c>
      <c r="D150" s="2" t="s">
        <v>1210</v>
      </c>
      <c r="E150" s="3">
        <v>38114</v>
      </c>
      <c r="F150" s="2" t="s">
        <v>129</v>
      </c>
      <c r="G150" s="2" t="s">
        <v>129</v>
      </c>
      <c r="H150" s="2" t="s">
        <v>143</v>
      </c>
      <c r="I150" s="2" t="s">
        <v>1057</v>
      </c>
      <c r="J150" s="2" t="s">
        <v>1058</v>
      </c>
      <c r="K150" s="2" t="s">
        <v>1562</v>
      </c>
      <c r="L150" s="2" t="s">
        <v>1568</v>
      </c>
      <c r="M150" s="5" t="s">
        <v>1575</v>
      </c>
      <c r="N150" s="8" t="s">
        <v>1578</v>
      </c>
      <c r="O150" s="2">
        <f ca="1">DATEDIF(Addmisson[[#This Row],[Student_DOB]],TODAY(),"y")</f>
        <v>22</v>
      </c>
      <c r="P150" s="2" t="str">
        <f>TEXT(Addmisson[[#This Row],[Admission_Date]],"mmmm")</f>
        <v>June</v>
      </c>
      <c r="Q150" s="2">
        <f>YEAR(Addmisson[[#This Row],[Admission_Date]])</f>
        <v>2025</v>
      </c>
    </row>
    <row r="151" spans="1:17" x14ac:dyDescent="0.25">
      <c r="A151" s="7" t="s">
        <v>248</v>
      </c>
      <c r="B151" s="3">
        <v>45821</v>
      </c>
      <c r="C151" s="2" t="s">
        <v>697</v>
      </c>
      <c r="D151" s="2" t="s">
        <v>1211</v>
      </c>
      <c r="E151" s="3">
        <v>38552</v>
      </c>
      <c r="F151" s="2" t="s">
        <v>14</v>
      </c>
      <c r="G151" s="2" t="s">
        <v>14</v>
      </c>
      <c r="H151" s="2" t="s">
        <v>15</v>
      </c>
      <c r="I151" s="2" t="s">
        <v>1059</v>
      </c>
      <c r="J151" s="2" t="s">
        <v>1059</v>
      </c>
      <c r="K151" s="2" t="s">
        <v>1563</v>
      </c>
      <c r="L151" s="2" t="s">
        <v>1567</v>
      </c>
      <c r="M151" s="5" t="s">
        <v>1571</v>
      </c>
      <c r="N151" s="8" t="s">
        <v>1578</v>
      </c>
      <c r="O151" s="2">
        <f ca="1">DATEDIF(Addmisson[[#This Row],[Student_DOB]],TODAY(),"y")</f>
        <v>21</v>
      </c>
      <c r="P151" s="2" t="str">
        <f>TEXT(Addmisson[[#This Row],[Admission_Date]],"mmmm")</f>
        <v>June</v>
      </c>
      <c r="Q151" s="2">
        <f>YEAR(Addmisson[[#This Row],[Admission_Date]])</f>
        <v>2025</v>
      </c>
    </row>
    <row r="152" spans="1:17" x14ac:dyDescent="0.25">
      <c r="A152" s="7" t="s">
        <v>249</v>
      </c>
      <c r="B152" s="3">
        <v>45822</v>
      </c>
      <c r="C152" s="2" t="s">
        <v>698</v>
      </c>
      <c r="D152" s="2" t="s">
        <v>1212</v>
      </c>
      <c r="E152" s="3">
        <v>38017</v>
      </c>
      <c r="F152" s="2" t="s">
        <v>145</v>
      </c>
      <c r="G152" s="2" t="s">
        <v>145</v>
      </c>
      <c r="H152" s="2" t="s">
        <v>145</v>
      </c>
      <c r="I152" s="2" t="s">
        <v>1060</v>
      </c>
      <c r="J152" s="2" t="s">
        <v>21</v>
      </c>
      <c r="K152" s="2" t="s">
        <v>1564</v>
      </c>
      <c r="L152" s="2" t="s">
        <v>1567</v>
      </c>
      <c r="M152" s="5" t="s">
        <v>1572</v>
      </c>
      <c r="N152" s="8" t="s">
        <v>1578</v>
      </c>
      <c r="O152" s="2">
        <f ca="1">DATEDIF(Addmisson[[#This Row],[Student_DOB]],TODAY(),"y")</f>
        <v>22</v>
      </c>
      <c r="P152" s="2" t="str">
        <f>TEXT(Addmisson[[#This Row],[Admission_Date]],"mmmm")</f>
        <v>June</v>
      </c>
      <c r="Q152" s="2">
        <f>YEAR(Addmisson[[#This Row],[Admission_Date]])</f>
        <v>2025</v>
      </c>
    </row>
    <row r="153" spans="1:17" x14ac:dyDescent="0.25">
      <c r="A153" s="7" t="s">
        <v>250</v>
      </c>
      <c r="B153" s="3">
        <v>45823</v>
      </c>
      <c r="C153" s="2" t="s">
        <v>699</v>
      </c>
      <c r="D153" s="2" t="s">
        <v>1213</v>
      </c>
      <c r="E153" s="3">
        <v>38637</v>
      </c>
      <c r="F153" s="2" t="s">
        <v>127</v>
      </c>
      <c r="G153" s="2" t="s">
        <v>127</v>
      </c>
      <c r="H153" s="2" t="s">
        <v>144</v>
      </c>
      <c r="I153" s="2" t="s">
        <v>1047</v>
      </c>
      <c r="J153" s="2" t="s">
        <v>1048</v>
      </c>
      <c r="K153" s="2" t="s">
        <v>1565</v>
      </c>
      <c r="L153" s="2" t="s">
        <v>1568</v>
      </c>
      <c r="M153" s="5" t="s">
        <v>1573</v>
      </c>
      <c r="N153" s="8" t="s">
        <v>1578</v>
      </c>
      <c r="O153" s="2">
        <f ca="1">DATEDIF(Addmisson[[#This Row],[Student_DOB]],TODAY(),"y")</f>
        <v>21</v>
      </c>
      <c r="P153" s="2" t="str">
        <f>TEXT(Addmisson[[#This Row],[Admission_Date]],"mmmm")</f>
        <v>June</v>
      </c>
      <c r="Q153" s="2">
        <f>YEAR(Addmisson[[#This Row],[Admission_Date]])</f>
        <v>2025</v>
      </c>
    </row>
    <row r="154" spans="1:17" x14ac:dyDescent="0.25">
      <c r="A154" s="7" t="s">
        <v>251</v>
      </c>
      <c r="B154" s="3">
        <v>45824</v>
      </c>
      <c r="C154" s="2" t="s">
        <v>700</v>
      </c>
      <c r="D154" s="2" t="s">
        <v>1214</v>
      </c>
      <c r="E154" s="3">
        <v>38142</v>
      </c>
      <c r="F154" s="2" t="s">
        <v>129</v>
      </c>
      <c r="G154" s="2" t="s">
        <v>129</v>
      </c>
      <c r="H154" s="2" t="s">
        <v>147</v>
      </c>
      <c r="I154" s="2" t="s">
        <v>1049</v>
      </c>
      <c r="J154" s="2" t="s">
        <v>1050</v>
      </c>
      <c r="K154" s="2" t="s">
        <v>1558</v>
      </c>
      <c r="L154" s="2" t="s">
        <v>1567</v>
      </c>
      <c r="M154" s="5" t="s">
        <v>1574</v>
      </c>
      <c r="N154" s="8" t="s">
        <v>1578</v>
      </c>
      <c r="O154" s="2">
        <f ca="1">DATEDIF(Addmisson[[#This Row],[Student_DOB]],TODAY(),"y")</f>
        <v>22</v>
      </c>
      <c r="P154" s="2" t="str">
        <f>TEXT(Addmisson[[#This Row],[Admission_Date]],"mmmm")</f>
        <v>June</v>
      </c>
      <c r="Q154" s="2">
        <f>YEAR(Addmisson[[#This Row],[Admission_Date]])</f>
        <v>2025</v>
      </c>
    </row>
    <row r="155" spans="1:17" x14ac:dyDescent="0.25">
      <c r="A155" s="7" t="s">
        <v>252</v>
      </c>
      <c r="B155" s="3">
        <v>45825</v>
      </c>
      <c r="C155" s="2" t="s">
        <v>701</v>
      </c>
      <c r="D155" s="2" t="s">
        <v>1215</v>
      </c>
      <c r="E155" s="3">
        <v>38436</v>
      </c>
      <c r="F155" s="2" t="s">
        <v>27</v>
      </c>
      <c r="G155" s="2" t="s">
        <v>27</v>
      </c>
      <c r="H155" s="2" t="s">
        <v>131</v>
      </c>
      <c r="I155" s="2" t="s">
        <v>1051</v>
      </c>
      <c r="J155" s="2" t="s">
        <v>1052</v>
      </c>
      <c r="K155" s="2" t="s">
        <v>1559</v>
      </c>
      <c r="L155" s="2" t="s">
        <v>1568</v>
      </c>
      <c r="M155" s="5" t="s">
        <v>1576</v>
      </c>
      <c r="N155" s="8" t="s">
        <v>1578</v>
      </c>
      <c r="O155" s="2">
        <f ca="1">DATEDIF(Addmisson[[#This Row],[Student_DOB]],TODAY(),"y")</f>
        <v>21</v>
      </c>
      <c r="P155" s="2" t="str">
        <f>TEXT(Addmisson[[#This Row],[Admission_Date]],"mmmm")</f>
        <v>June</v>
      </c>
      <c r="Q155" s="2">
        <f>YEAR(Addmisson[[#This Row],[Admission_Date]])</f>
        <v>2025</v>
      </c>
    </row>
    <row r="156" spans="1:17" x14ac:dyDescent="0.25">
      <c r="A156" s="7" t="s">
        <v>253</v>
      </c>
      <c r="B156" s="3">
        <v>45826</v>
      </c>
      <c r="C156" s="2" t="s">
        <v>702</v>
      </c>
      <c r="D156" s="2" t="s">
        <v>1216</v>
      </c>
      <c r="E156" s="3">
        <v>39068</v>
      </c>
      <c r="F156" s="2" t="s">
        <v>127</v>
      </c>
      <c r="G156" s="2" t="s">
        <v>127</v>
      </c>
      <c r="H156" s="2" t="s">
        <v>146</v>
      </c>
      <c r="I156" s="2" t="s">
        <v>1053</v>
      </c>
      <c r="J156" s="2" t="s">
        <v>1052</v>
      </c>
      <c r="K156" s="2" t="s">
        <v>1560</v>
      </c>
      <c r="L156" s="2" t="s">
        <v>1568</v>
      </c>
      <c r="M156" s="5" t="s">
        <v>1577</v>
      </c>
      <c r="N156" s="8" t="s">
        <v>1578</v>
      </c>
      <c r="O156" s="2">
        <f ca="1">DATEDIF(Addmisson[[#This Row],[Student_DOB]],TODAY(),"y")</f>
        <v>19</v>
      </c>
      <c r="P156" s="2" t="str">
        <f>TEXT(Addmisson[[#This Row],[Admission_Date]],"mmmm")</f>
        <v>June</v>
      </c>
      <c r="Q156" s="2">
        <f>YEAR(Addmisson[[#This Row],[Admission_Date]])</f>
        <v>2025</v>
      </c>
    </row>
    <row r="157" spans="1:17" x14ac:dyDescent="0.25">
      <c r="A157" s="7" t="s">
        <v>254</v>
      </c>
      <c r="B157" s="3">
        <v>45827</v>
      </c>
      <c r="C157" s="2" t="s">
        <v>703</v>
      </c>
      <c r="D157" s="2" t="s">
        <v>1217</v>
      </c>
      <c r="E157" s="3">
        <v>38572</v>
      </c>
      <c r="F157" s="2" t="s">
        <v>142</v>
      </c>
      <c r="G157" s="2" t="s">
        <v>142</v>
      </c>
      <c r="H157" s="2" t="s">
        <v>142</v>
      </c>
      <c r="I157" s="2" t="s">
        <v>1054</v>
      </c>
      <c r="J157" s="2" t="s">
        <v>1052</v>
      </c>
      <c r="K157" s="2" t="s">
        <v>1561</v>
      </c>
      <c r="L157" s="2" t="s">
        <v>1567</v>
      </c>
      <c r="M157" s="5" t="s">
        <v>1570</v>
      </c>
      <c r="N157" s="8" t="s">
        <v>1578</v>
      </c>
      <c r="O157" s="2">
        <f ca="1">DATEDIF(Addmisson[[#This Row],[Student_DOB]],TODAY(),"y")</f>
        <v>21</v>
      </c>
      <c r="P157" s="2" t="str">
        <f>TEXT(Addmisson[[#This Row],[Admission_Date]],"mmmm")</f>
        <v>June</v>
      </c>
      <c r="Q157" s="2">
        <f>YEAR(Addmisson[[#This Row],[Admission_Date]])</f>
        <v>2025</v>
      </c>
    </row>
    <row r="158" spans="1:17" x14ac:dyDescent="0.25">
      <c r="A158" s="7" t="s">
        <v>255</v>
      </c>
      <c r="B158" s="3">
        <v>45828</v>
      </c>
      <c r="C158" s="2" t="s">
        <v>704</v>
      </c>
      <c r="D158" s="2" t="s">
        <v>1218</v>
      </c>
      <c r="E158" s="3">
        <v>39925</v>
      </c>
      <c r="F158" s="2" t="s">
        <v>129</v>
      </c>
      <c r="G158" s="2" t="s">
        <v>129</v>
      </c>
      <c r="H158" s="2" t="s">
        <v>130</v>
      </c>
      <c r="I158" s="2" t="s">
        <v>1055</v>
      </c>
      <c r="J158" s="2" t="s">
        <v>1055</v>
      </c>
      <c r="K158" s="2" t="s">
        <v>1562</v>
      </c>
      <c r="L158" s="2" t="s">
        <v>1567</v>
      </c>
      <c r="M158" s="5" t="s">
        <v>1575</v>
      </c>
      <c r="N158" s="8" t="s">
        <v>1578</v>
      </c>
      <c r="O158" s="2">
        <f ca="1">DATEDIF(Addmisson[[#This Row],[Student_DOB]],TODAY(),"y")</f>
        <v>17</v>
      </c>
      <c r="P158" s="2" t="str">
        <f>TEXT(Addmisson[[#This Row],[Admission_Date]],"mmmm")</f>
        <v>June</v>
      </c>
      <c r="Q158" s="2">
        <f>YEAR(Addmisson[[#This Row],[Admission_Date]])</f>
        <v>2025</v>
      </c>
    </row>
    <row r="159" spans="1:17" x14ac:dyDescent="0.25">
      <c r="A159" s="7" t="s">
        <v>256</v>
      </c>
      <c r="B159" s="3">
        <v>45829</v>
      </c>
      <c r="C159" s="2" t="s">
        <v>705</v>
      </c>
      <c r="D159" s="2" t="s">
        <v>1219</v>
      </c>
      <c r="E159" s="3">
        <v>38601</v>
      </c>
      <c r="F159" s="2" t="s">
        <v>127</v>
      </c>
      <c r="G159" s="2" t="s">
        <v>127</v>
      </c>
      <c r="H159" s="2" t="s">
        <v>128</v>
      </c>
      <c r="I159" s="2" t="s">
        <v>16</v>
      </c>
      <c r="J159" s="2" t="s">
        <v>1056</v>
      </c>
      <c r="K159" s="2" t="s">
        <v>1563</v>
      </c>
      <c r="L159" s="2" t="s">
        <v>1568</v>
      </c>
      <c r="M159" s="5" t="s">
        <v>1571</v>
      </c>
      <c r="N159" s="8" t="s">
        <v>1578</v>
      </c>
      <c r="O159" s="2">
        <f ca="1">DATEDIF(Addmisson[[#This Row],[Student_DOB]],TODAY(),"y")</f>
        <v>21</v>
      </c>
      <c r="P159" s="2" t="str">
        <f>TEXT(Addmisson[[#This Row],[Admission_Date]],"mmmm")</f>
        <v>June</v>
      </c>
      <c r="Q159" s="2">
        <f>YEAR(Addmisson[[#This Row],[Admission_Date]])</f>
        <v>2025</v>
      </c>
    </row>
    <row r="160" spans="1:17" x14ac:dyDescent="0.25">
      <c r="A160" s="7" t="s">
        <v>257</v>
      </c>
      <c r="B160" s="3">
        <v>45830</v>
      </c>
      <c r="C160" s="2" t="s">
        <v>706</v>
      </c>
      <c r="D160" s="2" t="s">
        <v>1220</v>
      </c>
      <c r="E160" s="3">
        <v>38031</v>
      </c>
      <c r="F160" s="2" t="s">
        <v>148</v>
      </c>
      <c r="G160" s="2" t="s">
        <v>148</v>
      </c>
      <c r="H160" s="2" t="s">
        <v>148</v>
      </c>
      <c r="I160" s="2" t="s">
        <v>1057</v>
      </c>
      <c r="J160" s="2" t="s">
        <v>1058</v>
      </c>
      <c r="K160" s="2" t="s">
        <v>1564</v>
      </c>
      <c r="L160" s="2" t="s">
        <v>1567</v>
      </c>
      <c r="M160" s="5" t="s">
        <v>1572</v>
      </c>
      <c r="N160" s="8" t="s">
        <v>1578</v>
      </c>
      <c r="O160" s="2">
        <f ca="1">DATEDIF(Addmisson[[#This Row],[Student_DOB]],TODAY(),"y")</f>
        <v>22</v>
      </c>
      <c r="P160" s="2" t="str">
        <f>TEXT(Addmisson[[#This Row],[Admission_Date]],"mmmm")</f>
        <v>June</v>
      </c>
      <c r="Q160" s="2">
        <f>YEAR(Addmisson[[#This Row],[Admission_Date]])</f>
        <v>2025</v>
      </c>
    </row>
    <row r="161" spans="1:17" x14ac:dyDescent="0.25">
      <c r="A161" s="7" t="s">
        <v>258</v>
      </c>
      <c r="B161" s="3">
        <v>45831</v>
      </c>
      <c r="C161" s="2" t="s">
        <v>707</v>
      </c>
      <c r="D161" s="2" t="s">
        <v>1221</v>
      </c>
      <c r="E161" s="3">
        <v>38499</v>
      </c>
      <c r="F161" s="2" t="s">
        <v>14</v>
      </c>
      <c r="G161" s="2" t="s">
        <v>14</v>
      </c>
      <c r="H161" s="2" t="s">
        <v>132</v>
      </c>
      <c r="I161" s="2" t="s">
        <v>1059</v>
      </c>
      <c r="J161" s="2" t="s">
        <v>1059</v>
      </c>
      <c r="K161" s="2" t="s">
        <v>1565</v>
      </c>
      <c r="L161" s="2" t="s">
        <v>1567</v>
      </c>
      <c r="M161" s="5" t="s">
        <v>1573</v>
      </c>
      <c r="N161" s="8" t="s">
        <v>1578</v>
      </c>
      <c r="O161" s="2">
        <f ca="1">DATEDIF(Addmisson[[#This Row],[Student_DOB]],TODAY(),"y")</f>
        <v>21</v>
      </c>
      <c r="P161" s="2" t="str">
        <f>TEXT(Addmisson[[#This Row],[Admission_Date]],"mmmm")</f>
        <v>June</v>
      </c>
      <c r="Q161" s="2">
        <f>YEAR(Addmisson[[#This Row],[Admission_Date]])</f>
        <v>2025</v>
      </c>
    </row>
    <row r="162" spans="1:17" x14ac:dyDescent="0.25">
      <c r="A162" s="7" t="s">
        <v>259</v>
      </c>
      <c r="B162" s="3">
        <v>45832</v>
      </c>
      <c r="C162" s="2" t="s">
        <v>708</v>
      </c>
      <c r="D162" s="2" t="s">
        <v>1222</v>
      </c>
      <c r="E162" s="3">
        <v>38300</v>
      </c>
      <c r="F162" s="2" t="s">
        <v>127</v>
      </c>
      <c r="G162" s="2" t="s">
        <v>127</v>
      </c>
      <c r="H162" s="2" t="s">
        <v>133</v>
      </c>
      <c r="I162" s="2" t="s">
        <v>1060</v>
      </c>
      <c r="J162" s="2" t="s">
        <v>21</v>
      </c>
      <c r="K162" s="2" t="s">
        <v>1558</v>
      </c>
      <c r="L162" s="2" t="s">
        <v>1568</v>
      </c>
      <c r="M162" s="5" t="s">
        <v>1574</v>
      </c>
      <c r="N162" s="8" t="s">
        <v>1578</v>
      </c>
      <c r="O162" s="2">
        <f ca="1">DATEDIF(Addmisson[[#This Row],[Student_DOB]],TODAY(),"y")</f>
        <v>21</v>
      </c>
      <c r="P162" s="2" t="str">
        <f>TEXT(Addmisson[[#This Row],[Admission_Date]],"mmmm")</f>
        <v>June</v>
      </c>
      <c r="Q162" s="2">
        <f>YEAR(Addmisson[[#This Row],[Admission_Date]])</f>
        <v>2025</v>
      </c>
    </row>
    <row r="163" spans="1:17" x14ac:dyDescent="0.25">
      <c r="A163" s="7" t="s">
        <v>260</v>
      </c>
      <c r="B163" s="3">
        <v>45833</v>
      </c>
      <c r="C163" s="2" t="s">
        <v>709</v>
      </c>
      <c r="D163" s="2" t="s">
        <v>1223</v>
      </c>
      <c r="E163" s="3">
        <v>39159</v>
      </c>
      <c r="F163" s="2" t="s">
        <v>138</v>
      </c>
      <c r="G163" s="2" t="s">
        <v>138</v>
      </c>
      <c r="H163" s="2" t="s">
        <v>138</v>
      </c>
      <c r="I163" s="2" t="s">
        <v>1047</v>
      </c>
      <c r="J163" s="2" t="s">
        <v>1048</v>
      </c>
      <c r="K163" s="2" t="s">
        <v>1559</v>
      </c>
      <c r="L163" s="2" t="s">
        <v>1567</v>
      </c>
      <c r="M163" s="5" t="s">
        <v>1576</v>
      </c>
      <c r="N163" s="8" t="s">
        <v>1578</v>
      </c>
      <c r="O163" s="2">
        <f ca="1">DATEDIF(Addmisson[[#This Row],[Student_DOB]],TODAY(),"y")</f>
        <v>19</v>
      </c>
      <c r="P163" s="2" t="str">
        <f>TEXT(Addmisson[[#This Row],[Admission_Date]],"mmmm")</f>
        <v>June</v>
      </c>
      <c r="Q163" s="2">
        <f>YEAR(Addmisson[[#This Row],[Admission_Date]])</f>
        <v>2025</v>
      </c>
    </row>
    <row r="164" spans="1:17" x14ac:dyDescent="0.25">
      <c r="A164" s="7" t="s">
        <v>261</v>
      </c>
      <c r="B164" s="3">
        <v>45834</v>
      </c>
      <c r="C164" s="2" t="s">
        <v>710</v>
      </c>
      <c r="D164" s="2" t="s">
        <v>1224</v>
      </c>
      <c r="E164" s="3">
        <v>38168</v>
      </c>
      <c r="F164" s="2" t="s">
        <v>127</v>
      </c>
      <c r="G164" s="2" t="s">
        <v>127</v>
      </c>
      <c r="H164" s="2" t="s">
        <v>141</v>
      </c>
      <c r="I164" s="2" t="s">
        <v>1049</v>
      </c>
      <c r="J164" s="2" t="s">
        <v>1050</v>
      </c>
      <c r="K164" s="2" t="s">
        <v>1560</v>
      </c>
      <c r="L164" s="2" t="s">
        <v>1568</v>
      </c>
      <c r="M164" s="5" t="s">
        <v>1577</v>
      </c>
      <c r="N164" s="8" t="s">
        <v>1578</v>
      </c>
      <c r="O164" s="2">
        <f ca="1">DATEDIF(Addmisson[[#This Row],[Student_DOB]],TODAY(),"y")</f>
        <v>22</v>
      </c>
      <c r="P164" s="2" t="str">
        <f>TEXT(Addmisson[[#This Row],[Admission_Date]],"mmmm")</f>
        <v>June</v>
      </c>
      <c r="Q164" s="2">
        <f>YEAR(Addmisson[[#This Row],[Admission_Date]])</f>
        <v>2025</v>
      </c>
    </row>
    <row r="165" spans="1:17" x14ac:dyDescent="0.25">
      <c r="A165" s="7" t="s">
        <v>262</v>
      </c>
      <c r="B165" s="3">
        <v>45835</v>
      </c>
      <c r="C165" s="2" t="s">
        <v>711</v>
      </c>
      <c r="D165" s="2" t="s">
        <v>1225</v>
      </c>
      <c r="E165" s="3">
        <v>38688</v>
      </c>
      <c r="F165" s="2" t="s">
        <v>138</v>
      </c>
      <c r="G165" s="2" t="s">
        <v>138</v>
      </c>
      <c r="H165" s="2" t="s">
        <v>138</v>
      </c>
      <c r="I165" s="2" t="s">
        <v>1051</v>
      </c>
      <c r="J165" s="2" t="s">
        <v>1052</v>
      </c>
      <c r="K165" s="2" t="s">
        <v>1561</v>
      </c>
      <c r="L165" s="2" t="s">
        <v>1568</v>
      </c>
      <c r="M165" s="5" t="s">
        <v>1570</v>
      </c>
      <c r="N165" s="8" t="s">
        <v>1578</v>
      </c>
      <c r="O165" s="2">
        <f ca="1">DATEDIF(Addmisson[[#This Row],[Student_DOB]],TODAY(),"y")</f>
        <v>20</v>
      </c>
      <c r="P165" s="2" t="str">
        <f>TEXT(Addmisson[[#This Row],[Admission_Date]],"mmmm")</f>
        <v>June</v>
      </c>
      <c r="Q165" s="2">
        <f>YEAR(Addmisson[[#This Row],[Admission_Date]])</f>
        <v>2025</v>
      </c>
    </row>
    <row r="166" spans="1:17" x14ac:dyDescent="0.25">
      <c r="A166" s="7" t="s">
        <v>263</v>
      </c>
      <c r="B166" s="3">
        <v>45836</v>
      </c>
      <c r="C166" s="2" t="s">
        <v>712</v>
      </c>
      <c r="D166" s="2" t="s">
        <v>1226</v>
      </c>
      <c r="E166" s="3">
        <v>38088</v>
      </c>
      <c r="F166" s="2" t="s">
        <v>127</v>
      </c>
      <c r="G166" s="2" t="s">
        <v>127</v>
      </c>
      <c r="H166" s="2" t="s">
        <v>141</v>
      </c>
      <c r="I166" s="2" t="s">
        <v>1053</v>
      </c>
      <c r="J166" s="2" t="s">
        <v>1052</v>
      </c>
      <c r="K166" s="2" t="s">
        <v>1562</v>
      </c>
      <c r="L166" s="2" t="s">
        <v>1567</v>
      </c>
      <c r="M166" s="5" t="s">
        <v>1575</v>
      </c>
      <c r="N166" s="8" t="s">
        <v>1578</v>
      </c>
      <c r="O166" s="2">
        <f ca="1">DATEDIF(Addmisson[[#This Row],[Student_DOB]],TODAY(),"y")</f>
        <v>22</v>
      </c>
      <c r="P166" s="2" t="str">
        <f>TEXT(Addmisson[[#This Row],[Admission_Date]],"mmmm")</f>
        <v>June</v>
      </c>
      <c r="Q166" s="2">
        <f>YEAR(Addmisson[[#This Row],[Admission_Date]])</f>
        <v>2025</v>
      </c>
    </row>
    <row r="167" spans="1:17" x14ac:dyDescent="0.25">
      <c r="A167" s="7" t="s">
        <v>264</v>
      </c>
      <c r="B167" s="3">
        <v>45837</v>
      </c>
      <c r="C167" s="2" t="s">
        <v>713</v>
      </c>
      <c r="D167" s="2" t="s">
        <v>1227</v>
      </c>
      <c r="E167" s="3">
        <v>38588</v>
      </c>
      <c r="F167" s="2" t="s">
        <v>129</v>
      </c>
      <c r="G167" s="2" t="s">
        <v>129</v>
      </c>
      <c r="H167" s="2" t="s">
        <v>143</v>
      </c>
      <c r="I167" s="2" t="s">
        <v>1054</v>
      </c>
      <c r="J167" s="2" t="s">
        <v>1052</v>
      </c>
      <c r="K167" s="2" t="s">
        <v>1563</v>
      </c>
      <c r="L167" s="2" t="s">
        <v>1567</v>
      </c>
      <c r="M167" s="5" t="s">
        <v>1571</v>
      </c>
      <c r="N167" s="8" t="s">
        <v>1578</v>
      </c>
      <c r="O167" s="2">
        <f ca="1">DATEDIF(Addmisson[[#This Row],[Student_DOB]],TODAY(),"y")</f>
        <v>21</v>
      </c>
      <c r="P167" s="2" t="str">
        <f>TEXT(Addmisson[[#This Row],[Admission_Date]],"mmmm")</f>
        <v>June</v>
      </c>
      <c r="Q167" s="2">
        <f>YEAR(Addmisson[[#This Row],[Admission_Date]])</f>
        <v>2025</v>
      </c>
    </row>
    <row r="168" spans="1:17" x14ac:dyDescent="0.25">
      <c r="A168" s="7" t="s">
        <v>265</v>
      </c>
      <c r="B168" s="3">
        <v>45838</v>
      </c>
      <c r="C168" s="2" t="s">
        <v>714</v>
      </c>
      <c r="D168" s="2" t="s">
        <v>1228</v>
      </c>
      <c r="E168" s="3">
        <v>37991</v>
      </c>
      <c r="F168" s="2" t="s">
        <v>14</v>
      </c>
      <c r="G168" s="2" t="s">
        <v>14</v>
      </c>
      <c r="H168" s="2" t="s">
        <v>15</v>
      </c>
      <c r="I168" s="2" t="s">
        <v>1055</v>
      </c>
      <c r="J168" s="2" t="s">
        <v>1055</v>
      </c>
      <c r="K168" s="2" t="s">
        <v>1564</v>
      </c>
      <c r="L168" s="2" t="s">
        <v>1568</v>
      </c>
      <c r="M168" s="5" t="s">
        <v>1572</v>
      </c>
      <c r="N168" s="8" t="s">
        <v>1578</v>
      </c>
      <c r="O168" s="2">
        <f ca="1">DATEDIF(Addmisson[[#This Row],[Student_DOB]],TODAY(),"y")</f>
        <v>22</v>
      </c>
      <c r="P168" s="2" t="str">
        <f>TEXT(Addmisson[[#This Row],[Admission_Date]],"mmmm")</f>
        <v>June</v>
      </c>
      <c r="Q168" s="2">
        <f>YEAR(Addmisson[[#This Row],[Admission_Date]])</f>
        <v>2025</v>
      </c>
    </row>
    <row r="169" spans="1:17" x14ac:dyDescent="0.25">
      <c r="A169" s="7" t="s">
        <v>266</v>
      </c>
      <c r="B169" s="3">
        <v>45839</v>
      </c>
      <c r="C169" s="2" t="s">
        <v>715</v>
      </c>
      <c r="D169" s="2" t="s">
        <v>1229</v>
      </c>
      <c r="E169" s="3">
        <v>39737</v>
      </c>
      <c r="F169" s="2" t="s">
        <v>145</v>
      </c>
      <c r="G169" s="2" t="s">
        <v>145</v>
      </c>
      <c r="H169" s="2" t="s">
        <v>145</v>
      </c>
      <c r="I169" s="2" t="s">
        <v>16</v>
      </c>
      <c r="J169" s="2" t="s">
        <v>1056</v>
      </c>
      <c r="K169" s="2" t="s">
        <v>1565</v>
      </c>
      <c r="L169" s="2" t="s">
        <v>1567</v>
      </c>
      <c r="M169" s="5" t="s">
        <v>1573</v>
      </c>
      <c r="N169" s="8" t="s">
        <v>1578</v>
      </c>
      <c r="O169" s="2">
        <f ca="1">DATEDIF(Addmisson[[#This Row],[Student_DOB]],TODAY(),"y")</f>
        <v>18</v>
      </c>
      <c r="P169" s="2" t="str">
        <f>TEXT(Addmisson[[#This Row],[Admission_Date]],"mmmm")</f>
        <v>July</v>
      </c>
      <c r="Q169" s="2">
        <f>YEAR(Addmisson[[#This Row],[Admission_Date]])</f>
        <v>2025</v>
      </c>
    </row>
    <row r="170" spans="1:17" x14ac:dyDescent="0.25">
      <c r="A170" s="7" t="s">
        <v>267</v>
      </c>
      <c r="B170" s="3">
        <v>45840</v>
      </c>
      <c r="C170" s="2" t="s">
        <v>716</v>
      </c>
      <c r="D170" s="2" t="s">
        <v>1230</v>
      </c>
      <c r="E170" s="3">
        <v>38166</v>
      </c>
      <c r="F170" s="2" t="s">
        <v>127</v>
      </c>
      <c r="G170" s="2" t="s">
        <v>127</v>
      </c>
      <c r="H170" s="2" t="s">
        <v>144</v>
      </c>
      <c r="I170" s="2" t="s">
        <v>1057</v>
      </c>
      <c r="J170" s="2" t="s">
        <v>1058</v>
      </c>
      <c r="K170" s="2" t="s">
        <v>1558</v>
      </c>
      <c r="L170" s="2" t="s">
        <v>1567</v>
      </c>
      <c r="M170" s="5" t="s">
        <v>1570</v>
      </c>
      <c r="N170" s="8" t="s">
        <v>1578</v>
      </c>
      <c r="O170" s="2">
        <f ca="1">DATEDIF(Addmisson[[#This Row],[Student_DOB]],TODAY(),"y")</f>
        <v>22</v>
      </c>
      <c r="P170" s="2" t="str">
        <f>TEXT(Addmisson[[#This Row],[Admission_Date]],"mmmm")</f>
        <v>July</v>
      </c>
      <c r="Q170" s="2">
        <f>YEAR(Addmisson[[#This Row],[Admission_Date]])</f>
        <v>2025</v>
      </c>
    </row>
    <row r="171" spans="1:17" x14ac:dyDescent="0.25">
      <c r="A171" s="7" t="s">
        <v>268</v>
      </c>
      <c r="B171" s="3">
        <v>45841</v>
      </c>
      <c r="C171" s="2" t="s">
        <v>717</v>
      </c>
      <c r="D171" s="2" t="s">
        <v>1231</v>
      </c>
      <c r="E171" s="3">
        <v>38424</v>
      </c>
      <c r="F171" s="2" t="s">
        <v>129</v>
      </c>
      <c r="G171" s="2" t="s">
        <v>129</v>
      </c>
      <c r="H171" s="2" t="s">
        <v>147</v>
      </c>
      <c r="I171" s="2" t="s">
        <v>1059</v>
      </c>
      <c r="J171" s="2" t="s">
        <v>1059</v>
      </c>
      <c r="K171" s="2" t="s">
        <v>1559</v>
      </c>
      <c r="L171" s="2" t="s">
        <v>1568</v>
      </c>
      <c r="M171" s="5" t="s">
        <v>1575</v>
      </c>
      <c r="N171" s="8" t="s">
        <v>1578</v>
      </c>
      <c r="O171" s="2">
        <f ca="1">DATEDIF(Addmisson[[#This Row],[Student_DOB]],TODAY(),"y")</f>
        <v>21</v>
      </c>
      <c r="P171" s="2" t="str">
        <f>TEXT(Addmisson[[#This Row],[Admission_Date]],"mmmm")</f>
        <v>July</v>
      </c>
      <c r="Q171" s="2">
        <f>YEAR(Addmisson[[#This Row],[Admission_Date]])</f>
        <v>2025</v>
      </c>
    </row>
    <row r="172" spans="1:17" x14ac:dyDescent="0.25">
      <c r="A172" s="7" t="s">
        <v>269</v>
      </c>
      <c r="B172" s="3">
        <v>45842</v>
      </c>
      <c r="C172" s="2" t="s">
        <v>718</v>
      </c>
      <c r="D172" s="2" t="s">
        <v>1232</v>
      </c>
      <c r="E172" s="3">
        <v>38237</v>
      </c>
      <c r="F172" s="2" t="s">
        <v>27</v>
      </c>
      <c r="G172" s="2" t="s">
        <v>27</v>
      </c>
      <c r="H172" s="2" t="s">
        <v>131</v>
      </c>
      <c r="I172" s="2" t="s">
        <v>1060</v>
      </c>
      <c r="J172" s="2" t="s">
        <v>21</v>
      </c>
      <c r="K172" s="2" t="s">
        <v>1560</v>
      </c>
      <c r="L172" s="2" t="s">
        <v>1567</v>
      </c>
      <c r="M172" s="5" t="s">
        <v>1571</v>
      </c>
      <c r="N172" s="8" t="s">
        <v>1578</v>
      </c>
      <c r="O172" s="2">
        <f ca="1">DATEDIF(Addmisson[[#This Row],[Student_DOB]],TODAY(),"y")</f>
        <v>22</v>
      </c>
      <c r="P172" s="2" t="str">
        <f>TEXT(Addmisson[[#This Row],[Admission_Date]],"mmmm")</f>
        <v>July</v>
      </c>
      <c r="Q172" s="2">
        <f>YEAR(Addmisson[[#This Row],[Admission_Date]])</f>
        <v>2025</v>
      </c>
    </row>
    <row r="173" spans="1:17" x14ac:dyDescent="0.25">
      <c r="A173" s="7" t="s">
        <v>270</v>
      </c>
      <c r="B173" s="3">
        <v>45843</v>
      </c>
      <c r="C173" s="2" t="s">
        <v>719</v>
      </c>
      <c r="D173" s="2" t="s">
        <v>1233</v>
      </c>
      <c r="E173" s="3">
        <v>38707</v>
      </c>
      <c r="F173" s="2" t="s">
        <v>127</v>
      </c>
      <c r="G173" s="2" t="s">
        <v>127</v>
      </c>
      <c r="H173" s="2" t="s">
        <v>146</v>
      </c>
      <c r="I173" s="2" t="s">
        <v>1047</v>
      </c>
      <c r="J173" s="2" t="s">
        <v>1048</v>
      </c>
      <c r="K173" s="2" t="s">
        <v>1561</v>
      </c>
      <c r="L173" s="2" t="s">
        <v>1567</v>
      </c>
      <c r="M173" s="5" t="s">
        <v>1572</v>
      </c>
      <c r="N173" s="8" t="s">
        <v>1578</v>
      </c>
      <c r="O173" s="2">
        <f ca="1">DATEDIF(Addmisson[[#This Row],[Student_DOB]],TODAY(),"y")</f>
        <v>20</v>
      </c>
      <c r="P173" s="2" t="str">
        <f>TEXT(Addmisson[[#This Row],[Admission_Date]],"mmmm")</f>
        <v>July</v>
      </c>
      <c r="Q173" s="2">
        <f>YEAR(Addmisson[[#This Row],[Admission_Date]])</f>
        <v>2025</v>
      </c>
    </row>
    <row r="174" spans="1:17" x14ac:dyDescent="0.25">
      <c r="A174" s="7" t="s">
        <v>271</v>
      </c>
      <c r="B174" s="3">
        <v>45844</v>
      </c>
      <c r="C174" s="2" t="s">
        <v>720</v>
      </c>
      <c r="D174" s="2" t="s">
        <v>1234</v>
      </c>
      <c r="E174" s="3">
        <v>38126</v>
      </c>
      <c r="F174" s="2" t="s">
        <v>142</v>
      </c>
      <c r="G174" s="2" t="s">
        <v>142</v>
      </c>
      <c r="H174" s="2" t="s">
        <v>142</v>
      </c>
      <c r="I174" s="2" t="s">
        <v>1049</v>
      </c>
      <c r="J174" s="2" t="s">
        <v>1050</v>
      </c>
      <c r="K174" s="2" t="s">
        <v>1562</v>
      </c>
      <c r="L174" s="2" t="s">
        <v>1567</v>
      </c>
      <c r="M174" s="5" t="s">
        <v>1573</v>
      </c>
      <c r="N174" s="8" t="s">
        <v>1578</v>
      </c>
      <c r="O174" s="2">
        <f ca="1">DATEDIF(Addmisson[[#This Row],[Student_DOB]],TODAY(),"y")</f>
        <v>22</v>
      </c>
      <c r="P174" s="2" t="str">
        <f>TEXT(Addmisson[[#This Row],[Admission_Date]],"mmmm")</f>
        <v>July</v>
      </c>
      <c r="Q174" s="2">
        <f>YEAR(Addmisson[[#This Row],[Admission_Date]])</f>
        <v>2025</v>
      </c>
    </row>
    <row r="175" spans="1:17" x14ac:dyDescent="0.25">
      <c r="A175" s="7" t="s">
        <v>272</v>
      </c>
      <c r="B175" s="3">
        <v>45845</v>
      </c>
      <c r="C175" s="2" t="s">
        <v>721</v>
      </c>
      <c r="D175" s="2" t="s">
        <v>1235</v>
      </c>
      <c r="E175" s="3">
        <v>39632</v>
      </c>
      <c r="F175" s="2" t="s">
        <v>129</v>
      </c>
      <c r="G175" s="2" t="s">
        <v>129</v>
      </c>
      <c r="H175" s="2" t="s">
        <v>130</v>
      </c>
      <c r="I175" s="2" t="s">
        <v>1051</v>
      </c>
      <c r="J175" s="2" t="s">
        <v>1052</v>
      </c>
      <c r="K175" s="2" t="s">
        <v>1563</v>
      </c>
      <c r="L175" s="2" t="s">
        <v>1567</v>
      </c>
      <c r="M175" s="5" t="s">
        <v>1574</v>
      </c>
      <c r="N175" s="8" t="s">
        <v>1578</v>
      </c>
      <c r="O175" s="2">
        <f ca="1">DATEDIF(Addmisson[[#This Row],[Student_DOB]],TODAY(),"y")</f>
        <v>18</v>
      </c>
      <c r="P175" s="2" t="str">
        <f>TEXT(Addmisson[[#This Row],[Admission_Date]],"mmmm")</f>
        <v>July</v>
      </c>
      <c r="Q175" s="2">
        <f>YEAR(Addmisson[[#This Row],[Admission_Date]])</f>
        <v>2025</v>
      </c>
    </row>
    <row r="176" spans="1:17" x14ac:dyDescent="0.25">
      <c r="A176" s="7" t="s">
        <v>273</v>
      </c>
      <c r="B176" s="3">
        <v>45846</v>
      </c>
      <c r="C176" s="2" t="s">
        <v>722</v>
      </c>
      <c r="D176" s="2" t="s">
        <v>1236</v>
      </c>
      <c r="E176" s="3">
        <v>38043</v>
      </c>
      <c r="F176" s="2" t="s">
        <v>127</v>
      </c>
      <c r="G176" s="2" t="s">
        <v>127</v>
      </c>
      <c r="H176" s="2" t="s">
        <v>128</v>
      </c>
      <c r="I176" s="2" t="s">
        <v>1053</v>
      </c>
      <c r="J176" s="2" t="s">
        <v>1052</v>
      </c>
      <c r="K176" s="2" t="s">
        <v>1564</v>
      </c>
      <c r="L176" s="2" t="s">
        <v>1567</v>
      </c>
      <c r="M176" s="5" t="s">
        <v>1576</v>
      </c>
      <c r="N176" s="8" t="s">
        <v>1578</v>
      </c>
      <c r="O176" s="2">
        <f ca="1">DATEDIF(Addmisson[[#This Row],[Student_DOB]],TODAY(),"y")</f>
        <v>22</v>
      </c>
      <c r="P176" s="2" t="str">
        <f>TEXT(Addmisson[[#This Row],[Admission_Date]],"mmmm")</f>
        <v>July</v>
      </c>
      <c r="Q176" s="2">
        <f>YEAR(Addmisson[[#This Row],[Admission_Date]])</f>
        <v>2025</v>
      </c>
    </row>
    <row r="177" spans="1:17" x14ac:dyDescent="0.25">
      <c r="A177" s="7" t="s">
        <v>274</v>
      </c>
      <c r="B177" s="3">
        <v>45847</v>
      </c>
      <c r="C177" s="2" t="s">
        <v>723</v>
      </c>
      <c r="D177" s="2" t="s">
        <v>1237</v>
      </c>
      <c r="E177" s="3">
        <v>38666</v>
      </c>
      <c r="F177" s="2" t="s">
        <v>148</v>
      </c>
      <c r="G177" s="2" t="s">
        <v>148</v>
      </c>
      <c r="H177" s="2" t="s">
        <v>148</v>
      </c>
      <c r="I177" s="2" t="s">
        <v>1054</v>
      </c>
      <c r="J177" s="2" t="s">
        <v>1052</v>
      </c>
      <c r="K177" s="2" t="s">
        <v>1565</v>
      </c>
      <c r="L177" s="2" t="s">
        <v>1567</v>
      </c>
      <c r="M177" s="5" t="s">
        <v>1577</v>
      </c>
      <c r="N177" s="8" t="s">
        <v>1578</v>
      </c>
      <c r="O177" s="2">
        <f ca="1">DATEDIF(Addmisson[[#This Row],[Student_DOB]],TODAY(),"y")</f>
        <v>20</v>
      </c>
      <c r="P177" s="2" t="str">
        <f>TEXT(Addmisson[[#This Row],[Admission_Date]],"mmmm")</f>
        <v>July</v>
      </c>
      <c r="Q177" s="2">
        <f>YEAR(Addmisson[[#This Row],[Admission_Date]])</f>
        <v>2025</v>
      </c>
    </row>
    <row r="178" spans="1:17" x14ac:dyDescent="0.25">
      <c r="A178" s="7" t="s">
        <v>275</v>
      </c>
      <c r="B178" s="3">
        <v>45848</v>
      </c>
      <c r="C178" s="2" t="s">
        <v>724</v>
      </c>
      <c r="D178" s="2" t="s">
        <v>1238</v>
      </c>
      <c r="E178" s="3">
        <v>38214</v>
      </c>
      <c r="F178" s="2" t="s">
        <v>14</v>
      </c>
      <c r="G178" s="2" t="s">
        <v>14</v>
      </c>
      <c r="H178" s="2" t="s">
        <v>132</v>
      </c>
      <c r="I178" s="2" t="s">
        <v>1055</v>
      </c>
      <c r="J178" s="2" t="s">
        <v>1055</v>
      </c>
      <c r="K178" s="2" t="s">
        <v>1558</v>
      </c>
      <c r="L178" s="2" t="s">
        <v>1567</v>
      </c>
      <c r="M178" s="5" t="s">
        <v>1570</v>
      </c>
      <c r="N178" s="8" t="s">
        <v>1578</v>
      </c>
      <c r="O178" s="2">
        <f ca="1">DATEDIF(Addmisson[[#This Row],[Student_DOB]],TODAY(),"y")</f>
        <v>22</v>
      </c>
      <c r="P178" s="2" t="str">
        <f>TEXT(Addmisson[[#This Row],[Admission_Date]],"mmmm")</f>
        <v>July</v>
      </c>
      <c r="Q178" s="2">
        <f>YEAR(Addmisson[[#This Row],[Admission_Date]])</f>
        <v>2025</v>
      </c>
    </row>
    <row r="179" spans="1:17" x14ac:dyDescent="0.25">
      <c r="A179" s="7" t="s">
        <v>276</v>
      </c>
      <c r="B179" s="3">
        <v>45849</v>
      </c>
      <c r="C179" s="2" t="s">
        <v>725</v>
      </c>
      <c r="D179" s="2" t="s">
        <v>1239</v>
      </c>
      <c r="E179" s="3">
        <v>38471</v>
      </c>
      <c r="F179" s="2" t="s">
        <v>127</v>
      </c>
      <c r="G179" s="2" t="s">
        <v>127</v>
      </c>
      <c r="H179" s="2" t="s">
        <v>133</v>
      </c>
      <c r="I179" s="2" t="s">
        <v>16</v>
      </c>
      <c r="J179" s="2" t="s">
        <v>1056</v>
      </c>
      <c r="K179" s="2" t="s">
        <v>1559</v>
      </c>
      <c r="L179" s="2" t="s">
        <v>1567</v>
      </c>
      <c r="M179" s="5" t="s">
        <v>1575</v>
      </c>
      <c r="N179" s="8" t="s">
        <v>1578</v>
      </c>
      <c r="O179" s="2">
        <f ca="1">DATEDIF(Addmisson[[#This Row],[Student_DOB]],TODAY(),"y")</f>
        <v>21</v>
      </c>
      <c r="P179" s="2" t="str">
        <f>TEXT(Addmisson[[#This Row],[Admission_Date]],"mmmm")</f>
        <v>July</v>
      </c>
      <c r="Q179" s="2">
        <f>YEAR(Addmisson[[#This Row],[Admission_Date]])</f>
        <v>2025</v>
      </c>
    </row>
    <row r="180" spans="1:17" x14ac:dyDescent="0.25">
      <c r="A180" s="7" t="s">
        <v>277</v>
      </c>
      <c r="B180" s="3">
        <v>45850</v>
      </c>
      <c r="C180" s="2" t="s">
        <v>726</v>
      </c>
      <c r="D180" s="2" t="s">
        <v>1240</v>
      </c>
      <c r="E180" s="3">
        <v>38322</v>
      </c>
      <c r="F180" s="2" t="s">
        <v>138</v>
      </c>
      <c r="G180" s="2" t="s">
        <v>138</v>
      </c>
      <c r="H180" s="2" t="s">
        <v>138</v>
      </c>
      <c r="I180" s="2" t="s">
        <v>1057</v>
      </c>
      <c r="J180" s="2" t="s">
        <v>1058</v>
      </c>
      <c r="K180" s="2" t="s">
        <v>1560</v>
      </c>
      <c r="L180" s="2" t="s">
        <v>1567</v>
      </c>
      <c r="M180" s="5" t="s">
        <v>1571</v>
      </c>
      <c r="N180" s="8" t="s">
        <v>1578</v>
      </c>
      <c r="O180" s="2">
        <f ca="1">DATEDIF(Addmisson[[#This Row],[Student_DOB]],TODAY(),"y")</f>
        <v>21</v>
      </c>
      <c r="P180" s="2" t="str">
        <f>TEXT(Addmisson[[#This Row],[Admission_Date]],"mmmm")</f>
        <v>July</v>
      </c>
      <c r="Q180" s="2">
        <f>YEAR(Addmisson[[#This Row],[Admission_Date]])</f>
        <v>2025</v>
      </c>
    </row>
    <row r="181" spans="1:17" x14ac:dyDescent="0.25">
      <c r="A181" s="7" t="s">
        <v>278</v>
      </c>
      <c r="B181" s="3">
        <v>45851</v>
      </c>
      <c r="C181" s="2" t="s">
        <v>727</v>
      </c>
      <c r="D181" s="2" t="s">
        <v>1241</v>
      </c>
      <c r="E181" s="3">
        <v>38520</v>
      </c>
      <c r="F181" s="2" t="s">
        <v>127</v>
      </c>
      <c r="G181" s="2" t="s">
        <v>127</v>
      </c>
      <c r="H181" s="2" t="s">
        <v>141</v>
      </c>
      <c r="I181" s="2" t="s">
        <v>1059</v>
      </c>
      <c r="J181" s="2" t="s">
        <v>1059</v>
      </c>
      <c r="K181" s="2" t="s">
        <v>1561</v>
      </c>
      <c r="L181" s="2" t="s">
        <v>1567</v>
      </c>
      <c r="M181" s="5" t="s">
        <v>1572</v>
      </c>
      <c r="N181" s="8" t="s">
        <v>1578</v>
      </c>
      <c r="O181" s="2">
        <f ca="1">DATEDIF(Addmisson[[#This Row],[Student_DOB]],TODAY(),"y")</f>
        <v>21</v>
      </c>
      <c r="P181" s="2" t="str">
        <f>TEXT(Addmisson[[#This Row],[Admission_Date]],"mmmm")</f>
        <v>July</v>
      </c>
      <c r="Q181" s="2">
        <f>YEAR(Addmisson[[#This Row],[Admission_Date]])</f>
        <v>2025</v>
      </c>
    </row>
    <row r="182" spans="1:17" x14ac:dyDescent="0.25">
      <c r="A182" s="7" t="s">
        <v>279</v>
      </c>
      <c r="B182" s="3">
        <v>45852</v>
      </c>
      <c r="C182" s="2" t="s">
        <v>728</v>
      </c>
      <c r="D182" s="2" t="s">
        <v>1242</v>
      </c>
      <c r="E182" s="3">
        <v>38069</v>
      </c>
      <c r="F182" s="2" t="s">
        <v>129</v>
      </c>
      <c r="G182" s="2" t="s">
        <v>129</v>
      </c>
      <c r="H182" s="2" t="s">
        <v>143</v>
      </c>
      <c r="I182" s="2" t="s">
        <v>1060</v>
      </c>
      <c r="J182" s="2" t="s">
        <v>21</v>
      </c>
      <c r="K182" s="2" t="s">
        <v>1562</v>
      </c>
      <c r="L182" s="2" t="s">
        <v>1567</v>
      </c>
      <c r="M182" s="5" t="s">
        <v>1573</v>
      </c>
      <c r="N182" s="8" t="s">
        <v>1578</v>
      </c>
      <c r="O182" s="2">
        <f ca="1">DATEDIF(Addmisson[[#This Row],[Student_DOB]],TODAY(),"y")</f>
        <v>22</v>
      </c>
      <c r="P182" s="2" t="str">
        <f>TEXT(Addmisson[[#This Row],[Admission_Date]],"mmmm")</f>
        <v>July</v>
      </c>
      <c r="Q182" s="2">
        <f>YEAR(Addmisson[[#This Row],[Admission_Date]])</f>
        <v>2025</v>
      </c>
    </row>
    <row r="183" spans="1:17" x14ac:dyDescent="0.25">
      <c r="A183" s="7" t="s">
        <v>280</v>
      </c>
      <c r="B183" s="3">
        <v>45853</v>
      </c>
      <c r="C183" s="2" t="s">
        <v>729</v>
      </c>
      <c r="D183" s="2" t="s">
        <v>1243</v>
      </c>
      <c r="E183" s="3">
        <v>38996</v>
      </c>
      <c r="F183" s="2" t="s">
        <v>14</v>
      </c>
      <c r="G183" s="2" t="s">
        <v>14</v>
      </c>
      <c r="H183" s="2" t="s">
        <v>15</v>
      </c>
      <c r="I183" s="2" t="s">
        <v>1047</v>
      </c>
      <c r="J183" s="2" t="s">
        <v>1048</v>
      </c>
      <c r="K183" s="2" t="s">
        <v>1563</v>
      </c>
      <c r="L183" s="2" t="s">
        <v>1567</v>
      </c>
      <c r="M183" s="5" t="s">
        <v>1574</v>
      </c>
      <c r="N183" s="8" t="s">
        <v>1578</v>
      </c>
      <c r="O183" s="2">
        <f ca="1">DATEDIF(Addmisson[[#This Row],[Student_DOB]],TODAY(),"y")</f>
        <v>20</v>
      </c>
      <c r="P183" s="2" t="str">
        <f>TEXT(Addmisson[[#This Row],[Admission_Date]],"mmmm")</f>
        <v>July</v>
      </c>
      <c r="Q183" s="2">
        <f>YEAR(Addmisson[[#This Row],[Admission_Date]])</f>
        <v>2025</v>
      </c>
    </row>
    <row r="184" spans="1:17" x14ac:dyDescent="0.25">
      <c r="A184" s="7" t="s">
        <v>281</v>
      </c>
      <c r="B184" s="3">
        <v>45854</v>
      </c>
      <c r="C184" s="2" t="s">
        <v>730</v>
      </c>
      <c r="D184" s="2" t="s">
        <v>1244</v>
      </c>
      <c r="E184" s="3">
        <v>37998</v>
      </c>
      <c r="F184" s="2" t="s">
        <v>145</v>
      </c>
      <c r="G184" s="2" t="s">
        <v>145</v>
      </c>
      <c r="H184" s="2" t="s">
        <v>145</v>
      </c>
      <c r="I184" s="2" t="s">
        <v>1049</v>
      </c>
      <c r="J184" s="2" t="s">
        <v>1050</v>
      </c>
      <c r="K184" s="2" t="s">
        <v>1564</v>
      </c>
      <c r="L184" s="2" t="s">
        <v>1567</v>
      </c>
      <c r="M184" s="5" t="s">
        <v>1576</v>
      </c>
      <c r="N184" s="8" t="s">
        <v>1578</v>
      </c>
      <c r="O184" s="2">
        <f ca="1">DATEDIF(Addmisson[[#This Row],[Student_DOB]],TODAY(),"y")</f>
        <v>22</v>
      </c>
      <c r="P184" s="2" t="str">
        <f>TEXT(Addmisson[[#This Row],[Admission_Date]],"mmmm")</f>
        <v>July</v>
      </c>
      <c r="Q184" s="2">
        <f>YEAR(Addmisson[[#This Row],[Admission_Date]])</f>
        <v>2025</v>
      </c>
    </row>
    <row r="185" spans="1:17" x14ac:dyDescent="0.25">
      <c r="A185" s="7" t="s">
        <v>282</v>
      </c>
      <c r="B185" s="3">
        <v>45855</v>
      </c>
      <c r="C185" s="2" t="s">
        <v>731</v>
      </c>
      <c r="D185" s="2" t="s">
        <v>1245</v>
      </c>
      <c r="E185" s="3">
        <v>38561</v>
      </c>
      <c r="F185" s="2" t="s">
        <v>127</v>
      </c>
      <c r="G185" s="2" t="s">
        <v>127</v>
      </c>
      <c r="H185" s="2" t="s">
        <v>144</v>
      </c>
      <c r="I185" s="2" t="s">
        <v>1051</v>
      </c>
      <c r="J185" s="2" t="s">
        <v>1052</v>
      </c>
      <c r="K185" s="2" t="s">
        <v>1565</v>
      </c>
      <c r="L185" s="2" t="s">
        <v>1567</v>
      </c>
      <c r="M185" s="5" t="s">
        <v>1577</v>
      </c>
      <c r="N185" s="8" t="s">
        <v>1578</v>
      </c>
      <c r="O185" s="2">
        <f ca="1">DATEDIF(Addmisson[[#This Row],[Student_DOB]],TODAY(),"y")</f>
        <v>21</v>
      </c>
      <c r="P185" s="2" t="str">
        <f>TEXT(Addmisson[[#This Row],[Admission_Date]],"mmmm")</f>
        <v>July</v>
      </c>
      <c r="Q185" s="2">
        <f>YEAR(Addmisson[[#This Row],[Admission_Date]])</f>
        <v>2025</v>
      </c>
    </row>
    <row r="186" spans="1:17" x14ac:dyDescent="0.25">
      <c r="A186" s="7" t="s">
        <v>283</v>
      </c>
      <c r="B186" s="3">
        <v>45856</v>
      </c>
      <c r="C186" s="2" t="s">
        <v>732</v>
      </c>
      <c r="D186" s="2" t="s">
        <v>1246</v>
      </c>
      <c r="E186" s="3">
        <v>38147</v>
      </c>
      <c r="F186" s="2" t="s">
        <v>129</v>
      </c>
      <c r="G186" s="2" t="s">
        <v>129</v>
      </c>
      <c r="H186" s="2" t="s">
        <v>147</v>
      </c>
      <c r="I186" s="2" t="s">
        <v>1053</v>
      </c>
      <c r="J186" s="2" t="s">
        <v>1052</v>
      </c>
      <c r="K186" s="2" t="s">
        <v>1558</v>
      </c>
      <c r="L186" s="2" t="s">
        <v>1567</v>
      </c>
      <c r="M186" s="5" t="s">
        <v>1570</v>
      </c>
      <c r="N186" s="8" t="s">
        <v>1578</v>
      </c>
      <c r="O186" s="2">
        <f ca="1">DATEDIF(Addmisson[[#This Row],[Student_DOB]],TODAY(),"y")</f>
        <v>22</v>
      </c>
      <c r="P186" s="2" t="str">
        <f>TEXT(Addmisson[[#This Row],[Admission_Date]],"mmmm")</f>
        <v>July</v>
      </c>
      <c r="Q186" s="2">
        <f>YEAR(Addmisson[[#This Row],[Admission_Date]])</f>
        <v>2025</v>
      </c>
    </row>
    <row r="187" spans="1:17" x14ac:dyDescent="0.25">
      <c r="A187" s="7" t="s">
        <v>284</v>
      </c>
      <c r="B187" s="3">
        <v>45857</v>
      </c>
      <c r="C187" s="2" t="s">
        <v>733</v>
      </c>
      <c r="D187" s="2" t="s">
        <v>1247</v>
      </c>
      <c r="E187" s="3">
        <v>38615</v>
      </c>
      <c r="F187" s="2" t="s">
        <v>27</v>
      </c>
      <c r="G187" s="2" t="s">
        <v>27</v>
      </c>
      <c r="H187" s="2" t="s">
        <v>131</v>
      </c>
      <c r="I187" s="2" t="s">
        <v>1054</v>
      </c>
      <c r="J187" s="2" t="s">
        <v>1052</v>
      </c>
      <c r="K187" s="2" t="s">
        <v>1559</v>
      </c>
      <c r="L187" s="2" t="s">
        <v>1567</v>
      </c>
      <c r="M187" s="5" t="s">
        <v>1575</v>
      </c>
      <c r="N187" s="8" t="s">
        <v>1578</v>
      </c>
      <c r="O187" s="2">
        <f ca="1">DATEDIF(Addmisson[[#This Row],[Student_DOB]],TODAY(),"y")</f>
        <v>21</v>
      </c>
      <c r="P187" s="2" t="str">
        <f>TEXT(Addmisson[[#This Row],[Admission_Date]],"mmmm")</f>
        <v>July</v>
      </c>
      <c r="Q187" s="2">
        <f>YEAR(Addmisson[[#This Row],[Admission_Date]])</f>
        <v>2025</v>
      </c>
    </row>
    <row r="188" spans="1:17" x14ac:dyDescent="0.25">
      <c r="A188" s="7" t="s">
        <v>285</v>
      </c>
      <c r="B188" s="3">
        <v>45858</v>
      </c>
      <c r="C188" s="2" t="s">
        <v>734</v>
      </c>
      <c r="D188" s="2" t="s">
        <v>1248</v>
      </c>
      <c r="E188" s="3">
        <v>38050</v>
      </c>
      <c r="F188" s="2" t="s">
        <v>127</v>
      </c>
      <c r="G188" s="2" t="s">
        <v>127</v>
      </c>
      <c r="H188" s="2" t="s">
        <v>146</v>
      </c>
      <c r="I188" s="2" t="s">
        <v>1055</v>
      </c>
      <c r="J188" s="2" t="s">
        <v>1055</v>
      </c>
      <c r="K188" s="2" t="s">
        <v>1560</v>
      </c>
      <c r="L188" s="2" t="s">
        <v>1567</v>
      </c>
      <c r="M188" s="5" t="s">
        <v>1571</v>
      </c>
      <c r="N188" s="8" t="s">
        <v>1578</v>
      </c>
      <c r="O188" s="2">
        <f ca="1">DATEDIF(Addmisson[[#This Row],[Student_DOB]],TODAY(),"y")</f>
        <v>22</v>
      </c>
      <c r="P188" s="2" t="str">
        <f>TEXT(Addmisson[[#This Row],[Admission_Date]],"mmmm")</f>
        <v>July</v>
      </c>
      <c r="Q188" s="2">
        <f>YEAR(Addmisson[[#This Row],[Admission_Date]])</f>
        <v>2025</v>
      </c>
    </row>
    <row r="189" spans="1:17" x14ac:dyDescent="0.25">
      <c r="A189" s="7" t="s">
        <v>286</v>
      </c>
      <c r="B189" s="3">
        <v>45859</v>
      </c>
      <c r="C189" s="2" t="s">
        <v>735</v>
      </c>
      <c r="D189" s="2" t="s">
        <v>1249</v>
      </c>
      <c r="E189" s="3">
        <v>38486</v>
      </c>
      <c r="F189" s="2" t="s">
        <v>142</v>
      </c>
      <c r="G189" s="2" t="s">
        <v>142</v>
      </c>
      <c r="H189" s="2" t="s">
        <v>142</v>
      </c>
      <c r="I189" s="2" t="s">
        <v>16</v>
      </c>
      <c r="J189" s="2" t="s">
        <v>1056</v>
      </c>
      <c r="K189" s="2" t="s">
        <v>1561</v>
      </c>
      <c r="L189" s="2" t="s">
        <v>1567</v>
      </c>
      <c r="M189" s="5" t="s">
        <v>1572</v>
      </c>
      <c r="N189" s="8" t="s">
        <v>1578</v>
      </c>
      <c r="O189" s="2">
        <f ca="1">DATEDIF(Addmisson[[#This Row],[Student_DOB]],TODAY(),"y")</f>
        <v>21</v>
      </c>
      <c r="P189" s="2" t="str">
        <f>TEXT(Addmisson[[#This Row],[Admission_Date]],"mmmm")</f>
        <v>July</v>
      </c>
      <c r="Q189" s="2">
        <f>YEAR(Addmisson[[#This Row],[Admission_Date]])</f>
        <v>2025</v>
      </c>
    </row>
    <row r="190" spans="1:17" x14ac:dyDescent="0.25">
      <c r="A190" s="7" t="s">
        <v>287</v>
      </c>
      <c r="B190" s="3">
        <v>45860</v>
      </c>
      <c r="C190" s="2" t="s">
        <v>736</v>
      </c>
      <c r="D190" s="2" t="s">
        <v>1250</v>
      </c>
      <c r="E190" s="3">
        <v>38316</v>
      </c>
      <c r="F190" s="2" t="s">
        <v>129</v>
      </c>
      <c r="G190" s="2" t="s">
        <v>129</v>
      </c>
      <c r="H190" s="2" t="s">
        <v>130</v>
      </c>
      <c r="I190" s="2" t="s">
        <v>1057</v>
      </c>
      <c r="J190" s="2" t="s">
        <v>1058</v>
      </c>
      <c r="K190" s="2" t="s">
        <v>1562</v>
      </c>
      <c r="L190" s="2" t="s">
        <v>1567</v>
      </c>
      <c r="M190" s="5" t="s">
        <v>1573</v>
      </c>
      <c r="N190" s="8" t="s">
        <v>1578</v>
      </c>
      <c r="O190" s="2">
        <f ca="1">DATEDIF(Addmisson[[#This Row],[Student_DOB]],TODAY(),"y")</f>
        <v>21</v>
      </c>
      <c r="P190" s="2" t="str">
        <f>TEXT(Addmisson[[#This Row],[Admission_Date]],"mmmm")</f>
        <v>July</v>
      </c>
      <c r="Q190" s="2">
        <f>YEAR(Addmisson[[#This Row],[Admission_Date]])</f>
        <v>2025</v>
      </c>
    </row>
    <row r="191" spans="1:17" x14ac:dyDescent="0.25">
      <c r="A191" s="7" t="s">
        <v>288</v>
      </c>
      <c r="B191" s="3">
        <v>45861</v>
      </c>
      <c r="C191" s="2" t="s">
        <v>737</v>
      </c>
      <c r="D191" s="2" t="s">
        <v>1251</v>
      </c>
      <c r="E191" s="3">
        <v>38391</v>
      </c>
      <c r="F191" s="2" t="s">
        <v>127</v>
      </c>
      <c r="G191" s="2" t="s">
        <v>127</v>
      </c>
      <c r="H191" s="2" t="s">
        <v>128</v>
      </c>
      <c r="I191" s="2" t="s">
        <v>1059</v>
      </c>
      <c r="J191" s="2" t="s">
        <v>1059</v>
      </c>
      <c r="K191" s="2" t="s">
        <v>1563</v>
      </c>
      <c r="L191" s="2" t="s">
        <v>1567</v>
      </c>
      <c r="M191" s="5" t="s">
        <v>1570</v>
      </c>
      <c r="N191" s="8" t="s">
        <v>1578</v>
      </c>
      <c r="O191" s="2">
        <f ca="1">DATEDIF(Addmisson[[#This Row],[Student_DOB]],TODAY(),"y")</f>
        <v>21</v>
      </c>
      <c r="P191" s="2" t="str">
        <f>TEXT(Addmisson[[#This Row],[Admission_Date]],"mmmm")</f>
        <v>July</v>
      </c>
      <c r="Q191" s="2">
        <f>YEAR(Addmisson[[#This Row],[Admission_Date]])</f>
        <v>2025</v>
      </c>
    </row>
    <row r="192" spans="1:17" x14ac:dyDescent="0.25">
      <c r="A192" s="7" t="s">
        <v>289</v>
      </c>
      <c r="B192" s="3">
        <v>45862</v>
      </c>
      <c r="C192" s="2" t="s">
        <v>738</v>
      </c>
      <c r="D192" s="2" t="s">
        <v>1252</v>
      </c>
      <c r="E192" s="3">
        <v>38916</v>
      </c>
      <c r="F192" s="2" t="s">
        <v>148</v>
      </c>
      <c r="G192" s="2" t="s">
        <v>148</v>
      </c>
      <c r="H192" s="2" t="s">
        <v>148</v>
      </c>
      <c r="I192" s="2" t="s">
        <v>1060</v>
      </c>
      <c r="J192" s="2" t="s">
        <v>21</v>
      </c>
      <c r="K192" s="2" t="s">
        <v>1564</v>
      </c>
      <c r="L192" s="2" t="s">
        <v>1567</v>
      </c>
      <c r="M192" s="5" t="s">
        <v>1575</v>
      </c>
      <c r="N192" s="8" t="s">
        <v>1578</v>
      </c>
      <c r="O192" s="2">
        <f ca="1">DATEDIF(Addmisson[[#This Row],[Student_DOB]],TODAY(),"y")</f>
        <v>20</v>
      </c>
      <c r="P192" s="2" t="str">
        <f>TEXT(Addmisson[[#This Row],[Admission_Date]],"mmmm")</f>
        <v>July</v>
      </c>
      <c r="Q192" s="2">
        <f>YEAR(Addmisson[[#This Row],[Admission_Date]])</f>
        <v>2025</v>
      </c>
    </row>
    <row r="193" spans="1:17" x14ac:dyDescent="0.25">
      <c r="A193" s="7" t="s">
        <v>290</v>
      </c>
      <c r="B193" s="3">
        <v>45863</v>
      </c>
      <c r="C193" s="2" t="s">
        <v>739</v>
      </c>
      <c r="D193" s="2" t="s">
        <v>1062</v>
      </c>
      <c r="E193" s="3">
        <v>38441</v>
      </c>
      <c r="F193" s="2" t="s">
        <v>14</v>
      </c>
      <c r="G193" s="2" t="s">
        <v>14</v>
      </c>
      <c r="H193" s="2" t="s">
        <v>132</v>
      </c>
      <c r="I193" s="2" t="s">
        <v>1047</v>
      </c>
      <c r="J193" s="2" t="s">
        <v>1048</v>
      </c>
      <c r="K193" s="2" t="s">
        <v>1565</v>
      </c>
      <c r="L193" s="2" t="s">
        <v>1567</v>
      </c>
      <c r="M193" s="5" t="s">
        <v>1571</v>
      </c>
      <c r="N193" s="8" t="s">
        <v>1578</v>
      </c>
      <c r="O193" s="2">
        <f ca="1">DATEDIF(Addmisson[[#This Row],[Student_DOB]],TODAY(),"y")</f>
        <v>21</v>
      </c>
      <c r="P193" s="2" t="str">
        <f>TEXT(Addmisson[[#This Row],[Admission_Date]],"mmmm")</f>
        <v>July</v>
      </c>
      <c r="Q193" s="2">
        <f>YEAR(Addmisson[[#This Row],[Admission_Date]])</f>
        <v>2025</v>
      </c>
    </row>
    <row r="194" spans="1:17" x14ac:dyDescent="0.25">
      <c r="A194" s="7" t="s">
        <v>291</v>
      </c>
      <c r="B194" s="3">
        <v>45864</v>
      </c>
      <c r="C194" s="2" t="s">
        <v>740</v>
      </c>
      <c r="D194" s="2" t="s">
        <v>1253</v>
      </c>
      <c r="E194" s="3">
        <v>38232</v>
      </c>
      <c r="F194" s="2" t="s">
        <v>127</v>
      </c>
      <c r="G194" s="2" t="s">
        <v>127</v>
      </c>
      <c r="H194" s="2" t="s">
        <v>133</v>
      </c>
      <c r="I194" s="2" t="s">
        <v>1049</v>
      </c>
      <c r="J194" s="2" t="s">
        <v>1050</v>
      </c>
      <c r="K194" s="2" t="s">
        <v>1558</v>
      </c>
      <c r="L194" s="2" t="s">
        <v>1567</v>
      </c>
      <c r="M194" s="5" t="s">
        <v>1572</v>
      </c>
      <c r="N194" s="8" t="s">
        <v>1578</v>
      </c>
      <c r="O194" s="2">
        <f ca="1">DATEDIF(Addmisson[[#This Row],[Student_DOB]],TODAY(),"y")</f>
        <v>22</v>
      </c>
      <c r="P194" s="2" t="str">
        <f>TEXT(Addmisson[[#This Row],[Admission_Date]],"mmmm")</f>
        <v>July</v>
      </c>
      <c r="Q194" s="2">
        <f>YEAR(Addmisson[[#This Row],[Admission_Date]])</f>
        <v>2025</v>
      </c>
    </row>
    <row r="195" spans="1:17" x14ac:dyDescent="0.25">
      <c r="A195" s="7" t="s">
        <v>292</v>
      </c>
      <c r="B195" s="3">
        <v>45865</v>
      </c>
      <c r="C195" s="2" t="s">
        <v>741</v>
      </c>
      <c r="D195" s="2" t="s">
        <v>1254</v>
      </c>
      <c r="E195" s="3">
        <v>38697</v>
      </c>
      <c r="F195" s="2" t="s">
        <v>138</v>
      </c>
      <c r="G195" s="2" t="s">
        <v>138</v>
      </c>
      <c r="H195" s="2" t="s">
        <v>138</v>
      </c>
      <c r="I195" s="2" t="s">
        <v>1051</v>
      </c>
      <c r="J195" s="2" t="s">
        <v>1052</v>
      </c>
      <c r="K195" s="2" t="s">
        <v>1559</v>
      </c>
      <c r="L195" s="2" t="s">
        <v>1567</v>
      </c>
      <c r="M195" s="5" t="s">
        <v>1573</v>
      </c>
      <c r="N195" s="8" t="s">
        <v>1578</v>
      </c>
      <c r="O195" s="2">
        <f ca="1">DATEDIF(Addmisson[[#This Row],[Student_DOB]],TODAY(),"y")</f>
        <v>20</v>
      </c>
      <c r="P195" s="2" t="str">
        <f>TEXT(Addmisson[[#This Row],[Admission_Date]],"mmmm")</f>
        <v>July</v>
      </c>
      <c r="Q195" s="2">
        <f>YEAR(Addmisson[[#This Row],[Admission_Date]])</f>
        <v>2025</v>
      </c>
    </row>
    <row r="196" spans="1:17" x14ac:dyDescent="0.25">
      <c r="A196" s="7" t="s">
        <v>293</v>
      </c>
      <c r="B196" s="3">
        <v>45866</v>
      </c>
      <c r="C196" s="2" t="s">
        <v>742</v>
      </c>
      <c r="D196" s="2" t="s">
        <v>1255</v>
      </c>
      <c r="E196" s="3">
        <v>38104</v>
      </c>
      <c r="F196" s="2" t="s">
        <v>127</v>
      </c>
      <c r="G196" s="2" t="s">
        <v>127</v>
      </c>
      <c r="H196" s="2" t="s">
        <v>141</v>
      </c>
      <c r="I196" s="2" t="s">
        <v>1053</v>
      </c>
      <c r="J196" s="2" t="s">
        <v>1052</v>
      </c>
      <c r="K196" s="2" t="s">
        <v>1560</v>
      </c>
      <c r="L196" s="2" t="s">
        <v>1567</v>
      </c>
      <c r="M196" s="5" t="s">
        <v>1574</v>
      </c>
      <c r="N196" s="8" t="s">
        <v>1578</v>
      </c>
      <c r="O196" s="2">
        <f ca="1">DATEDIF(Addmisson[[#This Row],[Student_DOB]],TODAY(),"y")</f>
        <v>22</v>
      </c>
      <c r="P196" s="2" t="str">
        <f>TEXT(Addmisson[[#This Row],[Admission_Date]],"mmmm")</f>
        <v>July</v>
      </c>
      <c r="Q196" s="2">
        <f>YEAR(Addmisson[[#This Row],[Admission_Date]])</f>
        <v>2025</v>
      </c>
    </row>
    <row r="197" spans="1:17" x14ac:dyDescent="0.25">
      <c r="A197" s="7" t="s">
        <v>294</v>
      </c>
      <c r="B197" s="3">
        <v>45867</v>
      </c>
      <c r="C197" s="2" t="s">
        <v>743</v>
      </c>
      <c r="D197" s="2" t="s">
        <v>1256</v>
      </c>
      <c r="E197" s="3">
        <v>38569</v>
      </c>
      <c r="F197" s="2" t="s">
        <v>138</v>
      </c>
      <c r="G197" s="2" t="s">
        <v>138</v>
      </c>
      <c r="H197" s="2" t="s">
        <v>138</v>
      </c>
      <c r="I197" s="2" t="s">
        <v>1054</v>
      </c>
      <c r="J197" s="2" t="s">
        <v>1052</v>
      </c>
      <c r="K197" s="2" t="s">
        <v>1561</v>
      </c>
      <c r="L197" s="2" t="s">
        <v>1567</v>
      </c>
      <c r="M197" s="5" t="s">
        <v>1576</v>
      </c>
      <c r="N197" s="8" t="s">
        <v>1578</v>
      </c>
      <c r="O197" s="2">
        <f ca="1">DATEDIF(Addmisson[[#This Row],[Student_DOB]],TODAY(),"y")</f>
        <v>21</v>
      </c>
      <c r="P197" s="2" t="str">
        <f>TEXT(Addmisson[[#This Row],[Admission_Date]],"mmmm")</f>
        <v>July</v>
      </c>
      <c r="Q197" s="2">
        <f>YEAR(Addmisson[[#This Row],[Admission_Date]])</f>
        <v>2025</v>
      </c>
    </row>
    <row r="198" spans="1:17" x14ac:dyDescent="0.25">
      <c r="A198" s="7" t="s">
        <v>295</v>
      </c>
      <c r="B198" s="3">
        <v>45868</v>
      </c>
      <c r="C198" s="2" t="s">
        <v>744</v>
      </c>
      <c r="D198" s="2" t="s">
        <v>1257</v>
      </c>
      <c r="E198" s="3">
        <v>39249</v>
      </c>
      <c r="F198" s="2" t="s">
        <v>127</v>
      </c>
      <c r="G198" s="2" t="s">
        <v>127</v>
      </c>
      <c r="H198" s="2" t="s">
        <v>141</v>
      </c>
      <c r="I198" s="2" t="s">
        <v>1055</v>
      </c>
      <c r="J198" s="2" t="s">
        <v>1055</v>
      </c>
      <c r="K198" s="2" t="s">
        <v>1562</v>
      </c>
      <c r="L198" s="2" t="s">
        <v>1567</v>
      </c>
      <c r="M198" s="5" t="s">
        <v>1577</v>
      </c>
      <c r="N198" s="8" t="s">
        <v>1578</v>
      </c>
      <c r="O198" s="2">
        <f ca="1">DATEDIF(Addmisson[[#This Row],[Student_DOB]],TODAY(),"y")</f>
        <v>19</v>
      </c>
      <c r="P198" s="2" t="str">
        <f>TEXT(Addmisson[[#This Row],[Admission_Date]],"mmmm")</f>
        <v>July</v>
      </c>
      <c r="Q198" s="2">
        <f>YEAR(Addmisson[[#This Row],[Admission_Date]])</f>
        <v>2025</v>
      </c>
    </row>
    <row r="199" spans="1:17" x14ac:dyDescent="0.25">
      <c r="A199" s="7" t="s">
        <v>296</v>
      </c>
      <c r="B199" s="3">
        <v>45869</v>
      </c>
      <c r="C199" s="2" t="s">
        <v>745</v>
      </c>
      <c r="D199" s="2" t="s">
        <v>1258</v>
      </c>
      <c r="E199" s="3">
        <v>38374</v>
      </c>
      <c r="F199" s="2" t="s">
        <v>129</v>
      </c>
      <c r="G199" s="2" t="s">
        <v>129</v>
      </c>
      <c r="H199" s="2" t="s">
        <v>143</v>
      </c>
      <c r="I199" s="2" t="s">
        <v>16</v>
      </c>
      <c r="J199" s="2" t="s">
        <v>1056</v>
      </c>
      <c r="K199" s="2" t="s">
        <v>1563</v>
      </c>
      <c r="L199" s="2" t="s">
        <v>1567</v>
      </c>
      <c r="M199" s="5" t="s">
        <v>1570</v>
      </c>
      <c r="N199" s="8" t="s">
        <v>1578</v>
      </c>
      <c r="O199" s="2">
        <f ca="1">DATEDIF(Addmisson[[#This Row],[Student_DOB]],TODAY(),"y")</f>
        <v>21</v>
      </c>
      <c r="P199" s="2" t="str">
        <f>TEXT(Addmisson[[#This Row],[Admission_Date]],"mmmm")</f>
        <v>July</v>
      </c>
      <c r="Q199" s="2">
        <f>YEAR(Addmisson[[#This Row],[Admission_Date]])</f>
        <v>2025</v>
      </c>
    </row>
    <row r="200" spans="1:17" x14ac:dyDescent="0.25">
      <c r="A200" s="7" t="s">
        <v>297</v>
      </c>
      <c r="B200" s="3">
        <v>45870</v>
      </c>
      <c r="C200" s="2" t="s">
        <v>746</v>
      </c>
      <c r="D200" s="2" t="s">
        <v>1259</v>
      </c>
      <c r="E200" s="3">
        <v>38267</v>
      </c>
      <c r="F200" s="2" t="s">
        <v>14</v>
      </c>
      <c r="G200" s="2" t="s">
        <v>14</v>
      </c>
      <c r="H200" s="2" t="s">
        <v>15</v>
      </c>
      <c r="I200" s="2" t="s">
        <v>1057</v>
      </c>
      <c r="J200" s="2" t="s">
        <v>1058</v>
      </c>
      <c r="K200" s="2" t="s">
        <v>1564</v>
      </c>
      <c r="L200" s="2" t="s">
        <v>1567</v>
      </c>
      <c r="M200" s="5" t="s">
        <v>1575</v>
      </c>
      <c r="N200" s="8" t="s">
        <v>1578</v>
      </c>
      <c r="O200" s="2">
        <f ca="1">DATEDIF(Addmisson[[#This Row],[Student_DOB]],TODAY(),"y")</f>
        <v>22</v>
      </c>
      <c r="P200" s="2" t="str">
        <f>TEXT(Addmisson[[#This Row],[Admission_Date]],"mmmm")</f>
        <v>August</v>
      </c>
      <c r="Q200" s="2">
        <f>YEAR(Addmisson[[#This Row],[Admission_Date]])</f>
        <v>2025</v>
      </c>
    </row>
    <row r="201" spans="1:17" x14ac:dyDescent="0.25">
      <c r="A201" s="7" t="s">
        <v>298</v>
      </c>
      <c r="B201" s="3">
        <v>45871</v>
      </c>
      <c r="C201" s="2" t="s">
        <v>747</v>
      </c>
      <c r="D201" s="2" t="s">
        <v>1260</v>
      </c>
      <c r="E201" s="3">
        <v>38705</v>
      </c>
      <c r="F201" s="2" t="s">
        <v>145</v>
      </c>
      <c r="G201" s="2" t="s">
        <v>145</v>
      </c>
      <c r="H201" s="2" t="s">
        <v>145</v>
      </c>
      <c r="I201" s="2" t="s">
        <v>1059</v>
      </c>
      <c r="J201" s="2" t="s">
        <v>1059</v>
      </c>
      <c r="K201" s="2" t="s">
        <v>1565</v>
      </c>
      <c r="L201" s="2" t="s">
        <v>1567</v>
      </c>
      <c r="M201" s="5" t="s">
        <v>1571</v>
      </c>
      <c r="N201" s="8" t="s">
        <v>1578</v>
      </c>
      <c r="O201" s="2">
        <f ca="1">DATEDIF(Addmisson[[#This Row],[Student_DOB]],TODAY(),"y")</f>
        <v>20</v>
      </c>
      <c r="P201" s="2" t="str">
        <f>TEXT(Addmisson[[#This Row],[Admission_Date]],"mmmm")</f>
        <v>August</v>
      </c>
      <c r="Q201" s="2">
        <f>YEAR(Addmisson[[#This Row],[Admission_Date]])</f>
        <v>2025</v>
      </c>
    </row>
    <row r="202" spans="1:17" x14ac:dyDescent="0.25">
      <c r="A202" s="7" t="s">
        <v>299</v>
      </c>
      <c r="B202" s="3">
        <v>45872</v>
      </c>
      <c r="C202" s="2" t="s">
        <v>748</v>
      </c>
      <c r="D202" s="2" t="s">
        <v>1261</v>
      </c>
      <c r="E202" s="3">
        <v>38030</v>
      </c>
      <c r="F202" s="2" t="s">
        <v>127</v>
      </c>
      <c r="G202" s="2" t="s">
        <v>127</v>
      </c>
      <c r="H202" s="2" t="s">
        <v>144</v>
      </c>
      <c r="I202" s="2" t="s">
        <v>1060</v>
      </c>
      <c r="J202" s="2" t="s">
        <v>21</v>
      </c>
      <c r="K202" s="2" t="s">
        <v>1558</v>
      </c>
      <c r="L202" s="2" t="s">
        <v>1567</v>
      </c>
      <c r="M202" s="5" t="s">
        <v>1572</v>
      </c>
      <c r="N202" s="8" t="s">
        <v>1578</v>
      </c>
      <c r="O202" s="2">
        <f ca="1">DATEDIF(Addmisson[[#This Row],[Student_DOB]],TODAY(),"y")</f>
        <v>22</v>
      </c>
      <c r="P202" s="2" t="str">
        <f>TEXT(Addmisson[[#This Row],[Admission_Date]],"mmmm")</f>
        <v>August</v>
      </c>
      <c r="Q202" s="2">
        <f>YEAR(Addmisson[[#This Row],[Admission_Date]])</f>
        <v>2025</v>
      </c>
    </row>
    <row r="203" spans="1:17" x14ac:dyDescent="0.25">
      <c r="A203" s="7" t="s">
        <v>300</v>
      </c>
      <c r="B203" s="3">
        <v>45873</v>
      </c>
      <c r="C203" s="2" t="s">
        <v>749</v>
      </c>
      <c r="D203" s="2" t="s">
        <v>1262</v>
      </c>
      <c r="E203" s="3">
        <v>38527</v>
      </c>
      <c r="F203" s="2" t="s">
        <v>129</v>
      </c>
      <c r="G203" s="2" t="s">
        <v>129</v>
      </c>
      <c r="H203" s="2" t="s">
        <v>147</v>
      </c>
      <c r="I203" s="2" t="s">
        <v>1047</v>
      </c>
      <c r="J203" s="2" t="s">
        <v>1048</v>
      </c>
      <c r="K203" s="2" t="s">
        <v>1559</v>
      </c>
      <c r="L203" s="2" t="s">
        <v>1567</v>
      </c>
      <c r="M203" s="5" t="s">
        <v>1573</v>
      </c>
      <c r="N203" s="8" t="s">
        <v>1578</v>
      </c>
      <c r="O203" s="2">
        <f ca="1">DATEDIF(Addmisson[[#This Row],[Student_DOB]],TODAY(),"y")</f>
        <v>21</v>
      </c>
      <c r="P203" s="2" t="str">
        <f>TEXT(Addmisson[[#This Row],[Admission_Date]],"mmmm")</f>
        <v>August</v>
      </c>
      <c r="Q203" s="2">
        <f>YEAR(Addmisson[[#This Row],[Admission_Date]])</f>
        <v>2025</v>
      </c>
    </row>
    <row r="204" spans="1:17" x14ac:dyDescent="0.25">
      <c r="A204" s="7" t="s">
        <v>301</v>
      </c>
      <c r="B204" s="3">
        <v>45874</v>
      </c>
      <c r="C204" s="2" t="s">
        <v>750</v>
      </c>
      <c r="D204" s="2" t="s">
        <v>1263</v>
      </c>
      <c r="E204" s="3">
        <v>38868</v>
      </c>
      <c r="F204" s="2" t="s">
        <v>27</v>
      </c>
      <c r="G204" s="2" t="s">
        <v>27</v>
      </c>
      <c r="H204" s="2" t="s">
        <v>131</v>
      </c>
      <c r="I204" s="2" t="s">
        <v>1049</v>
      </c>
      <c r="J204" s="2" t="s">
        <v>1050</v>
      </c>
      <c r="K204" s="2" t="s">
        <v>1560</v>
      </c>
      <c r="L204" s="2" t="s">
        <v>1567</v>
      </c>
      <c r="M204" s="5" t="s">
        <v>1574</v>
      </c>
      <c r="N204" s="8" t="s">
        <v>1578</v>
      </c>
      <c r="O204" s="2">
        <f ca="1">DATEDIF(Addmisson[[#This Row],[Student_DOB]],TODAY(),"y")</f>
        <v>20</v>
      </c>
      <c r="P204" s="2" t="str">
        <f>TEXT(Addmisson[[#This Row],[Admission_Date]],"mmmm")</f>
        <v>August</v>
      </c>
      <c r="Q204" s="2">
        <f>YEAR(Addmisson[[#This Row],[Admission_Date]])</f>
        <v>2025</v>
      </c>
    </row>
    <row r="205" spans="1:17" x14ac:dyDescent="0.25">
      <c r="A205" s="7" t="s">
        <v>302</v>
      </c>
      <c r="B205" s="3">
        <v>45875</v>
      </c>
      <c r="C205" s="2" t="s">
        <v>751</v>
      </c>
      <c r="D205" s="2" t="s">
        <v>1264</v>
      </c>
      <c r="E205" s="3">
        <v>39389</v>
      </c>
      <c r="F205" s="2" t="s">
        <v>127</v>
      </c>
      <c r="G205" s="2" t="s">
        <v>127</v>
      </c>
      <c r="H205" s="2" t="s">
        <v>146</v>
      </c>
      <c r="I205" s="2" t="s">
        <v>1051</v>
      </c>
      <c r="J205" s="2" t="s">
        <v>1052</v>
      </c>
      <c r="K205" s="2" t="s">
        <v>1561</v>
      </c>
      <c r="L205" s="2" t="s">
        <v>1567</v>
      </c>
      <c r="M205" s="5" t="s">
        <v>1576</v>
      </c>
      <c r="N205" s="8" t="s">
        <v>1578</v>
      </c>
      <c r="O205" s="2">
        <f ca="1">DATEDIF(Addmisson[[#This Row],[Student_DOB]],TODAY(),"y")</f>
        <v>18</v>
      </c>
      <c r="P205" s="2" t="str">
        <f>TEXT(Addmisson[[#This Row],[Admission_Date]],"mmmm")</f>
        <v>August</v>
      </c>
      <c r="Q205" s="2">
        <f>YEAR(Addmisson[[#This Row],[Admission_Date]])</f>
        <v>2025</v>
      </c>
    </row>
    <row r="206" spans="1:17" x14ac:dyDescent="0.25">
      <c r="A206" s="7" t="s">
        <v>303</v>
      </c>
      <c r="B206" s="3">
        <v>45876</v>
      </c>
      <c r="C206" s="2" t="s">
        <v>752</v>
      </c>
      <c r="D206" s="2" t="s">
        <v>1265</v>
      </c>
      <c r="E206" s="3">
        <v>38209</v>
      </c>
      <c r="F206" s="2" t="s">
        <v>142</v>
      </c>
      <c r="G206" s="2" t="s">
        <v>142</v>
      </c>
      <c r="H206" s="2" t="s">
        <v>142</v>
      </c>
      <c r="I206" s="2" t="s">
        <v>1053</v>
      </c>
      <c r="J206" s="2" t="s">
        <v>1052</v>
      </c>
      <c r="K206" s="2" t="s">
        <v>1562</v>
      </c>
      <c r="L206" s="2" t="s">
        <v>1567</v>
      </c>
      <c r="M206" s="5" t="s">
        <v>1577</v>
      </c>
      <c r="N206" s="8" t="s">
        <v>1578</v>
      </c>
      <c r="O206" s="2">
        <f ca="1">DATEDIF(Addmisson[[#This Row],[Student_DOB]],TODAY(),"y")</f>
        <v>22</v>
      </c>
      <c r="P206" s="2" t="str">
        <f>TEXT(Addmisson[[#This Row],[Admission_Date]],"mmmm")</f>
        <v>August</v>
      </c>
      <c r="Q206" s="2">
        <f>YEAR(Addmisson[[#This Row],[Admission_Date]])</f>
        <v>2025</v>
      </c>
    </row>
    <row r="207" spans="1:17" x14ac:dyDescent="0.25">
      <c r="A207" s="7" t="s">
        <v>304</v>
      </c>
      <c r="B207" s="3">
        <v>45877</v>
      </c>
      <c r="C207" s="2" t="s">
        <v>753</v>
      </c>
      <c r="D207" s="2" t="s">
        <v>1266</v>
      </c>
      <c r="E207" s="3">
        <v>38437</v>
      </c>
      <c r="F207" s="2" t="s">
        <v>129</v>
      </c>
      <c r="G207" s="2" t="s">
        <v>129</v>
      </c>
      <c r="H207" s="2" t="s">
        <v>130</v>
      </c>
      <c r="I207" s="2" t="s">
        <v>1054</v>
      </c>
      <c r="J207" s="2" t="s">
        <v>1052</v>
      </c>
      <c r="K207" s="2" t="s">
        <v>1563</v>
      </c>
      <c r="L207" s="2" t="s">
        <v>1567</v>
      </c>
      <c r="M207" s="5" t="s">
        <v>1570</v>
      </c>
      <c r="N207" s="8" t="s">
        <v>1578</v>
      </c>
      <c r="O207" s="2">
        <f ca="1">DATEDIF(Addmisson[[#This Row],[Student_DOB]],TODAY(),"y")</f>
        <v>21</v>
      </c>
      <c r="P207" s="2" t="str">
        <f>TEXT(Addmisson[[#This Row],[Admission_Date]],"mmmm")</f>
        <v>August</v>
      </c>
      <c r="Q207" s="2">
        <f>YEAR(Addmisson[[#This Row],[Admission_Date]])</f>
        <v>2025</v>
      </c>
    </row>
    <row r="208" spans="1:17" x14ac:dyDescent="0.25">
      <c r="A208" s="7" t="s">
        <v>305</v>
      </c>
      <c r="B208" s="3">
        <v>45878</v>
      </c>
      <c r="C208" s="2" t="s">
        <v>754</v>
      </c>
      <c r="D208" s="2" t="s">
        <v>1267</v>
      </c>
      <c r="E208" s="3">
        <v>38336</v>
      </c>
      <c r="F208" s="2" t="s">
        <v>127</v>
      </c>
      <c r="G208" s="2" t="s">
        <v>127</v>
      </c>
      <c r="H208" s="2" t="s">
        <v>128</v>
      </c>
      <c r="I208" s="2" t="s">
        <v>1055</v>
      </c>
      <c r="J208" s="2" t="s">
        <v>1055</v>
      </c>
      <c r="K208" s="2" t="s">
        <v>1564</v>
      </c>
      <c r="L208" s="2" t="s">
        <v>1567</v>
      </c>
      <c r="M208" s="5" t="s">
        <v>1575</v>
      </c>
      <c r="N208" s="8" t="s">
        <v>1578</v>
      </c>
      <c r="O208" s="2">
        <f ca="1">DATEDIF(Addmisson[[#This Row],[Student_DOB]],TODAY(),"y")</f>
        <v>21</v>
      </c>
      <c r="P208" s="2" t="str">
        <f>TEXT(Addmisson[[#This Row],[Admission_Date]],"mmmm")</f>
        <v>August</v>
      </c>
      <c r="Q208" s="2">
        <f>YEAR(Addmisson[[#This Row],[Admission_Date]])</f>
        <v>2025</v>
      </c>
    </row>
    <row r="209" spans="1:17" x14ac:dyDescent="0.25">
      <c r="A209" s="7" t="s">
        <v>306</v>
      </c>
      <c r="B209" s="3">
        <v>45879</v>
      </c>
      <c r="C209" s="2" t="s">
        <v>755</v>
      </c>
      <c r="D209" s="2" t="s">
        <v>1268</v>
      </c>
      <c r="E209" s="3">
        <v>38481</v>
      </c>
      <c r="F209" s="2" t="s">
        <v>148</v>
      </c>
      <c r="G209" s="2" t="s">
        <v>148</v>
      </c>
      <c r="H209" s="2" t="s">
        <v>148</v>
      </c>
      <c r="I209" s="2" t="s">
        <v>16</v>
      </c>
      <c r="J209" s="2" t="s">
        <v>1056</v>
      </c>
      <c r="K209" s="2" t="s">
        <v>1565</v>
      </c>
      <c r="L209" s="2" t="s">
        <v>1567</v>
      </c>
      <c r="M209" s="5" t="s">
        <v>1571</v>
      </c>
      <c r="N209" s="8" t="s">
        <v>1578</v>
      </c>
      <c r="O209" s="2">
        <f ca="1">DATEDIF(Addmisson[[#This Row],[Student_DOB]],TODAY(),"y")</f>
        <v>21</v>
      </c>
      <c r="P209" s="2" t="str">
        <f>TEXT(Addmisson[[#This Row],[Admission_Date]],"mmmm")</f>
        <v>August</v>
      </c>
      <c r="Q209" s="2">
        <f>YEAR(Addmisson[[#This Row],[Admission_Date]])</f>
        <v>2025</v>
      </c>
    </row>
    <row r="210" spans="1:17" x14ac:dyDescent="0.25">
      <c r="A210" s="7" t="s">
        <v>307</v>
      </c>
      <c r="B210" s="3">
        <v>45880</v>
      </c>
      <c r="C210" s="2" t="s">
        <v>756</v>
      </c>
      <c r="D210" s="2" t="s">
        <v>1269</v>
      </c>
      <c r="E210" s="3">
        <v>37458</v>
      </c>
      <c r="F210" s="2" t="s">
        <v>14</v>
      </c>
      <c r="G210" s="2" t="s">
        <v>14</v>
      </c>
      <c r="H210" s="2" t="s">
        <v>132</v>
      </c>
      <c r="I210" s="2" t="s">
        <v>1057</v>
      </c>
      <c r="J210" s="2" t="s">
        <v>1058</v>
      </c>
      <c r="K210" s="2" t="s">
        <v>1558</v>
      </c>
      <c r="L210" s="2" t="s">
        <v>1567</v>
      </c>
      <c r="M210" s="5" t="s">
        <v>1572</v>
      </c>
      <c r="N210" s="8" t="s">
        <v>1578</v>
      </c>
      <c r="O210" s="2">
        <f ca="1">DATEDIF(Addmisson[[#This Row],[Student_DOB]],TODAY(),"y")</f>
        <v>24</v>
      </c>
      <c r="P210" s="2" t="str">
        <f>TEXT(Addmisson[[#This Row],[Admission_Date]],"mmmm")</f>
        <v>August</v>
      </c>
      <c r="Q210" s="2">
        <f>YEAR(Addmisson[[#This Row],[Admission_Date]])</f>
        <v>2025</v>
      </c>
    </row>
    <row r="211" spans="1:17" x14ac:dyDescent="0.25">
      <c r="A211" s="7" t="s">
        <v>308</v>
      </c>
      <c r="B211" s="3">
        <v>45881</v>
      </c>
      <c r="C211" s="2" t="s">
        <v>757</v>
      </c>
      <c r="D211" s="2" t="s">
        <v>1270</v>
      </c>
      <c r="E211" s="3">
        <v>38387</v>
      </c>
      <c r="F211" s="2" t="s">
        <v>127</v>
      </c>
      <c r="G211" s="2" t="s">
        <v>127</v>
      </c>
      <c r="H211" s="2" t="s">
        <v>133</v>
      </c>
      <c r="I211" s="2" t="s">
        <v>1059</v>
      </c>
      <c r="J211" s="2" t="s">
        <v>1059</v>
      </c>
      <c r="K211" s="2" t="s">
        <v>1559</v>
      </c>
      <c r="L211" s="2" t="s">
        <v>1567</v>
      </c>
      <c r="M211" s="5" t="s">
        <v>1573</v>
      </c>
      <c r="N211" s="8" t="s">
        <v>1578</v>
      </c>
      <c r="O211" s="2">
        <f ca="1">DATEDIF(Addmisson[[#This Row],[Student_DOB]],TODAY(),"y")</f>
        <v>21</v>
      </c>
      <c r="P211" s="2" t="str">
        <f>TEXT(Addmisson[[#This Row],[Admission_Date]],"mmmm")</f>
        <v>August</v>
      </c>
      <c r="Q211" s="2">
        <f>YEAR(Addmisson[[#This Row],[Admission_Date]])</f>
        <v>2025</v>
      </c>
    </row>
    <row r="212" spans="1:17" x14ac:dyDescent="0.25">
      <c r="A212" s="7" t="s">
        <v>309</v>
      </c>
      <c r="B212" s="3">
        <v>45882</v>
      </c>
      <c r="C212" s="2" t="s">
        <v>758</v>
      </c>
      <c r="D212" s="2" t="s">
        <v>1271</v>
      </c>
      <c r="E212" s="3">
        <v>38095</v>
      </c>
      <c r="F212" s="2" t="s">
        <v>138</v>
      </c>
      <c r="G212" s="2" t="s">
        <v>138</v>
      </c>
      <c r="H212" s="2" t="s">
        <v>138</v>
      </c>
      <c r="I212" s="2" t="s">
        <v>1060</v>
      </c>
      <c r="J212" s="2" t="s">
        <v>21</v>
      </c>
      <c r="K212" s="2" t="s">
        <v>1560</v>
      </c>
      <c r="L212" s="2" t="s">
        <v>1567</v>
      </c>
      <c r="M212" s="5" t="s">
        <v>1570</v>
      </c>
      <c r="N212" s="8" t="s">
        <v>1578</v>
      </c>
      <c r="O212" s="2">
        <f ca="1">DATEDIF(Addmisson[[#This Row],[Student_DOB]],TODAY(),"y")</f>
        <v>22</v>
      </c>
      <c r="P212" s="2" t="str">
        <f>TEXT(Addmisson[[#This Row],[Admission_Date]],"mmmm")</f>
        <v>August</v>
      </c>
      <c r="Q212" s="2">
        <f>YEAR(Addmisson[[#This Row],[Admission_Date]])</f>
        <v>2025</v>
      </c>
    </row>
    <row r="213" spans="1:17" x14ac:dyDescent="0.25">
      <c r="A213" s="7" t="s">
        <v>310</v>
      </c>
      <c r="B213" s="3">
        <v>45883</v>
      </c>
      <c r="C213" s="2" t="s">
        <v>759</v>
      </c>
      <c r="D213" s="2" t="s">
        <v>1272</v>
      </c>
      <c r="E213" s="3">
        <v>38654</v>
      </c>
      <c r="F213" s="2" t="s">
        <v>127</v>
      </c>
      <c r="G213" s="2" t="s">
        <v>127</v>
      </c>
      <c r="H213" s="2" t="s">
        <v>141</v>
      </c>
      <c r="I213" s="2" t="s">
        <v>1047</v>
      </c>
      <c r="J213" s="2" t="s">
        <v>1048</v>
      </c>
      <c r="K213" s="2" t="s">
        <v>1561</v>
      </c>
      <c r="L213" s="2" t="s">
        <v>1567</v>
      </c>
      <c r="M213" s="5" t="s">
        <v>1575</v>
      </c>
      <c r="N213" s="8" t="s">
        <v>1578</v>
      </c>
      <c r="O213" s="2">
        <f ca="1">DATEDIF(Addmisson[[#This Row],[Student_DOB]],TODAY(),"y")</f>
        <v>20</v>
      </c>
      <c r="P213" s="2" t="str">
        <f>TEXT(Addmisson[[#This Row],[Admission_Date]],"mmmm")</f>
        <v>August</v>
      </c>
      <c r="Q213" s="2">
        <f>YEAR(Addmisson[[#This Row],[Admission_Date]])</f>
        <v>2025</v>
      </c>
    </row>
    <row r="214" spans="1:17" x14ac:dyDescent="0.25">
      <c r="A214" s="7" t="s">
        <v>311</v>
      </c>
      <c r="B214" s="3">
        <v>45884</v>
      </c>
      <c r="C214" s="2" t="s">
        <v>760</v>
      </c>
      <c r="D214" s="2" t="s">
        <v>1273</v>
      </c>
      <c r="E214" s="3">
        <v>38327</v>
      </c>
      <c r="F214" s="2" t="s">
        <v>129</v>
      </c>
      <c r="G214" s="2" t="s">
        <v>129</v>
      </c>
      <c r="H214" s="2" t="s">
        <v>143</v>
      </c>
      <c r="I214" s="2" t="s">
        <v>1049</v>
      </c>
      <c r="J214" s="2" t="s">
        <v>1050</v>
      </c>
      <c r="K214" s="2" t="s">
        <v>1562</v>
      </c>
      <c r="L214" s="2" t="s">
        <v>1567</v>
      </c>
      <c r="M214" s="5" t="s">
        <v>1571</v>
      </c>
      <c r="N214" s="8" t="s">
        <v>1578</v>
      </c>
      <c r="O214" s="2">
        <f ca="1">DATEDIF(Addmisson[[#This Row],[Student_DOB]],TODAY(),"y")</f>
        <v>21</v>
      </c>
      <c r="P214" s="2" t="str">
        <f>TEXT(Addmisson[[#This Row],[Admission_Date]],"mmmm")</f>
        <v>August</v>
      </c>
      <c r="Q214" s="2">
        <f>YEAR(Addmisson[[#This Row],[Admission_Date]])</f>
        <v>2025</v>
      </c>
    </row>
    <row r="215" spans="1:17" x14ac:dyDescent="0.25">
      <c r="A215" s="7" t="s">
        <v>312</v>
      </c>
      <c r="B215" s="3">
        <v>45885</v>
      </c>
      <c r="C215" s="2" t="s">
        <v>761</v>
      </c>
      <c r="D215" s="2" t="s">
        <v>1274</v>
      </c>
      <c r="E215" s="3">
        <v>38545</v>
      </c>
      <c r="F215" s="2" t="s">
        <v>14</v>
      </c>
      <c r="G215" s="2" t="s">
        <v>14</v>
      </c>
      <c r="H215" s="2" t="s">
        <v>15</v>
      </c>
      <c r="I215" s="2" t="s">
        <v>1051</v>
      </c>
      <c r="J215" s="2" t="s">
        <v>1052</v>
      </c>
      <c r="K215" s="2" t="s">
        <v>1563</v>
      </c>
      <c r="L215" s="2" t="s">
        <v>1567</v>
      </c>
      <c r="M215" s="5" t="s">
        <v>1572</v>
      </c>
      <c r="N215" s="8" t="s">
        <v>1578</v>
      </c>
      <c r="O215" s="2">
        <f ca="1">DATEDIF(Addmisson[[#This Row],[Student_DOB]],TODAY(),"y")</f>
        <v>21</v>
      </c>
      <c r="P215" s="2" t="str">
        <f>TEXT(Addmisson[[#This Row],[Admission_Date]],"mmmm")</f>
        <v>August</v>
      </c>
      <c r="Q215" s="2">
        <f>YEAR(Addmisson[[#This Row],[Admission_Date]])</f>
        <v>2025</v>
      </c>
    </row>
    <row r="216" spans="1:17" x14ac:dyDescent="0.25">
      <c r="A216" s="7" t="s">
        <v>313</v>
      </c>
      <c r="B216" s="3">
        <v>45886</v>
      </c>
      <c r="C216" s="2" t="s">
        <v>762</v>
      </c>
      <c r="D216" s="2" t="s">
        <v>1275</v>
      </c>
      <c r="E216" s="3">
        <v>38009</v>
      </c>
      <c r="F216" s="2" t="s">
        <v>145</v>
      </c>
      <c r="G216" s="2" t="s">
        <v>145</v>
      </c>
      <c r="H216" s="2" t="s">
        <v>145</v>
      </c>
      <c r="I216" s="2" t="s">
        <v>1053</v>
      </c>
      <c r="J216" s="2" t="s">
        <v>1052</v>
      </c>
      <c r="K216" s="2" t="s">
        <v>1564</v>
      </c>
      <c r="L216" s="2" t="s">
        <v>1567</v>
      </c>
      <c r="M216" s="5" t="s">
        <v>1573</v>
      </c>
      <c r="N216" s="8" t="s">
        <v>1578</v>
      </c>
      <c r="O216" s="2">
        <f ca="1">DATEDIF(Addmisson[[#This Row],[Student_DOB]],TODAY(),"y")</f>
        <v>22</v>
      </c>
      <c r="P216" s="2" t="str">
        <f>TEXT(Addmisson[[#This Row],[Admission_Date]],"mmmm")</f>
        <v>August</v>
      </c>
      <c r="Q216" s="2">
        <f>YEAR(Addmisson[[#This Row],[Admission_Date]])</f>
        <v>2025</v>
      </c>
    </row>
    <row r="217" spans="1:17" x14ac:dyDescent="0.25">
      <c r="A217" s="7" t="s">
        <v>314</v>
      </c>
      <c r="B217" s="3">
        <v>45887</v>
      </c>
      <c r="C217" s="2" t="s">
        <v>763</v>
      </c>
      <c r="D217" s="2" t="s">
        <v>1276</v>
      </c>
      <c r="E217" s="3">
        <v>40042</v>
      </c>
      <c r="F217" s="2" t="s">
        <v>127</v>
      </c>
      <c r="G217" s="2" t="s">
        <v>127</v>
      </c>
      <c r="H217" s="2" t="s">
        <v>144</v>
      </c>
      <c r="I217" s="2" t="s">
        <v>1054</v>
      </c>
      <c r="J217" s="2" t="s">
        <v>1052</v>
      </c>
      <c r="K217" s="2" t="s">
        <v>1565</v>
      </c>
      <c r="L217" s="2" t="s">
        <v>1567</v>
      </c>
      <c r="M217" s="5" t="s">
        <v>1574</v>
      </c>
      <c r="N217" s="8" t="s">
        <v>1578</v>
      </c>
      <c r="O217" s="2">
        <f ca="1">DATEDIF(Addmisson[[#This Row],[Student_DOB]],TODAY(),"y")</f>
        <v>17</v>
      </c>
      <c r="P217" s="2" t="str">
        <f>TEXT(Addmisson[[#This Row],[Admission_Date]],"mmmm")</f>
        <v>August</v>
      </c>
      <c r="Q217" s="2">
        <f>YEAR(Addmisson[[#This Row],[Admission_Date]])</f>
        <v>2025</v>
      </c>
    </row>
    <row r="218" spans="1:17" x14ac:dyDescent="0.25">
      <c r="A218" s="7" t="s">
        <v>315</v>
      </c>
      <c r="B218" s="3">
        <v>45888</v>
      </c>
      <c r="C218" s="2" t="s">
        <v>764</v>
      </c>
      <c r="D218" s="2" t="s">
        <v>1277</v>
      </c>
      <c r="E218" s="3">
        <v>38582</v>
      </c>
      <c r="F218" s="2" t="s">
        <v>129</v>
      </c>
      <c r="G218" s="2" t="s">
        <v>129</v>
      </c>
      <c r="H218" s="2" t="s">
        <v>147</v>
      </c>
      <c r="I218" s="2" t="s">
        <v>1055</v>
      </c>
      <c r="J218" s="2" t="s">
        <v>1055</v>
      </c>
      <c r="K218" s="2" t="s">
        <v>1558</v>
      </c>
      <c r="L218" s="2" t="s">
        <v>1567</v>
      </c>
      <c r="M218" s="5" t="s">
        <v>1576</v>
      </c>
      <c r="N218" s="8" t="s">
        <v>1578</v>
      </c>
      <c r="O218" s="2">
        <f ca="1">DATEDIF(Addmisson[[#This Row],[Student_DOB]],TODAY(),"y")</f>
        <v>21</v>
      </c>
      <c r="P218" s="2" t="str">
        <f>TEXT(Addmisson[[#This Row],[Admission_Date]],"mmmm")</f>
        <v>August</v>
      </c>
      <c r="Q218" s="2">
        <f>YEAR(Addmisson[[#This Row],[Admission_Date]])</f>
        <v>2025</v>
      </c>
    </row>
    <row r="219" spans="1:17" x14ac:dyDescent="0.25">
      <c r="A219" s="7" t="s">
        <v>316</v>
      </c>
      <c r="B219" s="3">
        <v>45889</v>
      </c>
      <c r="C219" s="2" t="s">
        <v>765</v>
      </c>
      <c r="D219" s="2" t="s">
        <v>1278</v>
      </c>
      <c r="E219" s="3">
        <v>38019</v>
      </c>
      <c r="F219" s="2" t="s">
        <v>27</v>
      </c>
      <c r="G219" s="2" t="s">
        <v>27</v>
      </c>
      <c r="H219" s="2" t="s">
        <v>131</v>
      </c>
      <c r="I219" s="2" t="s">
        <v>16</v>
      </c>
      <c r="J219" s="2" t="s">
        <v>1056</v>
      </c>
      <c r="K219" s="2" t="s">
        <v>1559</v>
      </c>
      <c r="L219" s="2" t="s">
        <v>1567</v>
      </c>
      <c r="M219" s="5" t="s">
        <v>1577</v>
      </c>
      <c r="N219" s="8" t="s">
        <v>1578</v>
      </c>
      <c r="O219" s="2">
        <f ca="1">DATEDIF(Addmisson[[#This Row],[Student_DOB]],TODAY(),"y")</f>
        <v>22</v>
      </c>
      <c r="P219" s="2" t="str">
        <f>TEXT(Addmisson[[#This Row],[Admission_Date]],"mmmm")</f>
        <v>August</v>
      </c>
      <c r="Q219" s="2">
        <f>YEAR(Addmisson[[#This Row],[Admission_Date]])</f>
        <v>2025</v>
      </c>
    </row>
    <row r="220" spans="1:17" x14ac:dyDescent="0.25">
      <c r="A220" s="7" t="s">
        <v>317</v>
      </c>
      <c r="B220" s="3">
        <v>45890</v>
      </c>
      <c r="C220" s="2" t="s">
        <v>766</v>
      </c>
      <c r="D220" s="2" t="s">
        <v>1279</v>
      </c>
      <c r="E220" s="3">
        <v>38459</v>
      </c>
      <c r="F220" s="2" t="s">
        <v>127</v>
      </c>
      <c r="G220" s="2" t="s">
        <v>127</v>
      </c>
      <c r="H220" s="2" t="s">
        <v>146</v>
      </c>
      <c r="I220" s="2" t="s">
        <v>1057</v>
      </c>
      <c r="J220" s="2" t="s">
        <v>1058</v>
      </c>
      <c r="K220" s="2" t="s">
        <v>1560</v>
      </c>
      <c r="L220" s="2" t="s">
        <v>1567</v>
      </c>
      <c r="M220" s="5" t="s">
        <v>1570</v>
      </c>
      <c r="N220" s="8" t="s">
        <v>1578</v>
      </c>
      <c r="O220" s="2">
        <f ca="1">DATEDIF(Addmisson[[#This Row],[Student_DOB]],TODAY(),"y")</f>
        <v>21</v>
      </c>
      <c r="P220" s="2" t="str">
        <f>TEXT(Addmisson[[#This Row],[Admission_Date]],"mmmm")</f>
        <v>August</v>
      </c>
      <c r="Q220" s="2">
        <f>YEAR(Addmisson[[#This Row],[Admission_Date]])</f>
        <v>2025</v>
      </c>
    </row>
    <row r="221" spans="1:17" x14ac:dyDescent="0.25">
      <c r="A221" s="7" t="s">
        <v>318</v>
      </c>
      <c r="B221" s="3">
        <v>45891</v>
      </c>
      <c r="C221" s="2" t="s">
        <v>767</v>
      </c>
      <c r="D221" s="2" t="s">
        <v>1280</v>
      </c>
      <c r="E221" s="3">
        <v>38164</v>
      </c>
      <c r="F221" s="2" t="s">
        <v>142</v>
      </c>
      <c r="G221" s="2" t="s">
        <v>142</v>
      </c>
      <c r="H221" s="2" t="s">
        <v>142</v>
      </c>
      <c r="I221" s="2" t="s">
        <v>1059</v>
      </c>
      <c r="J221" s="2" t="s">
        <v>1059</v>
      </c>
      <c r="K221" s="2" t="s">
        <v>1561</v>
      </c>
      <c r="L221" s="2" t="s">
        <v>1567</v>
      </c>
      <c r="M221" s="5" t="s">
        <v>1575</v>
      </c>
      <c r="N221" s="8" t="s">
        <v>1578</v>
      </c>
      <c r="O221" s="2">
        <f ca="1">DATEDIF(Addmisson[[#This Row],[Student_DOB]],TODAY(),"y")</f>
        <v>22</v>
      </c>
      <c r="P221" s="2" t="str">
        <f>TEXT(Addmisson[[#This Row],[Admission_Date]],"mmmm")</f>
        <v>August</v>
      </c>
      <c r="Q221" s="2">
        <f>YEAR(Addmisson[[#This Row],[Admission_Date]])</f>
        <v>2025</v>
      </c>
    </row>
    <row r="222" spans="1:17" x14ac:dyDescent="0.25">
      <c r="A222" s="7" t="s">
        <v>319</v>
      </c>
      <c r="B222" s="3">
        <v>45892</v>
      </c>
      <c r="C222" s="2" t="s">
        <v>768</v>
      </c>
      <c r="D222" s="2" t="s">
        <v>1281</v>
      </c>
      <c r="E222" s="3">
        <v>39455</v>
      </c>
      <c r="F222" s="2" t="s">
        <v>129</v>
      </c>
      <c r="G222" s="2" t="s">
        <v>129</v>
      </c>
      <c r="H222" s="2" t="s">
        <v>130</v>
      </c>
      <c r="I222" s="2" t="s">
        <v>1060</v>
      </c>
      <c r="J222" s="2" t="s">
        <v>21</v>
      </c>
      <c r="K222" s="2" t="s">
        <v>1562</v>
      </c>
      <c r="L222" s="2" t="s">
        <v>1567</v>
      </c>
      <c r="M222" s="5" t="s">
        <v>1571</v>
      </c>
      <c r="N222" s="8" t="s">
        <v>1578</v>
      </c>
      <c r="O222" s="2">
        <f ca="1">DATEDIF(Addmisson[[#This Row],[Student_DOB]],TODAY(),"y")</f>
        <v>18</v>
      </c>
      <c r="P222" s="2" t="str">
        <f>TEXT(Addmisson[[#This Row],[Admission_Date]],"mmmm")</f>
        <v>August</v>
      </c>
      <c r="Q222" s="2">
        <f>YEAR(Addmisson[[#This Row],[Admission_Date]])</f>
        <v>2025</v>
      </c>
    </row>
    <row r="223" spans="1:17" x14ac:dyDescent="0.25">
      <c r="A223" s="7" t="s">
        <v>320</v>
      </c>
      <c r="B223" s="3">
        <v>45893</v>
      </c>
      <c r="C223" s="2" t="s">
        <v>769</v>
      </c>
      <c r="D223" s="2" t="s">
        <v>1282</v>
      </c>
      <c r="E223" s="3">
        <v>38244</v>
      </c>
      <c r="F223" s="2" t="s">
        <v>127</v>
      </c>
      <c r="G223" s="2" t="s">
        <v>127</v>
      </c>
      <c r="H223" s="2" t="s">
        <v>128</v>
      </c>
      <c r="I223" s="2" t="s">
        <v>1047</v>
      </c>
      <c r="J223" s="2" t="s">
        <v>1048</v>
      </c>
      <c r="K223" s="2" t="s">
        <v>1563</v>
      </c>
      <c r="L223" s="2" t="s">
        <v>1567</v>
      </c>
      <c r="M223" s="5" t="s">
        <v>1572</v>
      </c>
      <c r="N223" s="8" t="s">
        <v>1578</v>
      </c>
      <c r="O223" s="2">
        <f ca="1">DATEDIF(Addmisson[[#This Row],[Student_DOB]],TODAY(),"y")</f>
        <v>22</v>
      </c>
      <c r="P223" s="2" t="str">
        <f>TEXT(Addmisson[[#This Row],[Admission_Date]],"mmmm")</f>
        <v>August</v>
      </c>
      <c r="Q223" s="2">
        <f>YEAR(Addmisson[[#This Row],[Admission_Date]])</f>
        <v>2025</v>
      </c>
    </row>
    <row r="224" spans="1:17" x14ac:dyDescent="0.25">
      <c r="A224" s="7" t="s">
        <v>321</v>
      </c>
      <c r="B224" s="3">
        <v>45894</v>
      </c>
      <c r="C224" s="2" t="s">
        <v>770</v>
      </c>
      <c r="D224" s="2" t="s">
        <v>1283</v>
      </c>
      <c r="E224" s="3">
        <v>38495</v>
      </c>
      <c r="F224" s="2" t="s">
        <v>148</v>
      </c>
      <c r="G224" s="2" t="s">
        <v>148</v>
      </c>
      <c r="H224" s="2" t="s">
        <v>148</v>
      </c>
      <c r="I224" s="2" t="s">
        <v>1049</v>
      </c>
      <c r="J224" s="2" t="s">
        <v>1050</v>
      </c>
      <c r="K224" s="2" t="s">
        <v>1564</v>
      </c>
      <c r="L224" s="2" t="s">
        <v>1567</v>
      </c>
      <c r="M224" s="5" t="s">
        <v>1573</v>
      </c>
      <c r="N224" s="8" t="s">
        <v>1578</v>
      </c>
      <c r="O224" s="2">
        <f ca="1">DATEDIF(Addmisson[[#This Row],[Student_DOB]],TODAY(),"y")</f>
        <v>21</v>
      </c>
      <c r="P224" s="2" t="str">
        <f>TEXT(Addmisson[[#This Row],[Admission_Date]],"mmmm")</f>
        <v>August</v>
      </c>
      <c r="Q224" s="2">
        <f>YEAR(Addmisson[[#This Row],[Admission_Date]])</f>
        <v>2025</v>
      </c>
    </row>
    <row r="225" spans="1:17" x14ac:dyDescent="0.25">
      <c r="A225" s="7" t="s">
        <v>322</v>
      </c>
      <c r="B225" s="3">
        <v>45895</v>
      </c>
      <c r="C225" s="2" t="s">
        <v>771</v>
      </c>
      <c r="D225" s="2" t="s">
        <v>1284</v>
      </c>
      <c r="E225" s="3">
        <v>38326</v>
      </c>
      <c r="F225" s="2" t="s">
        <v>14</v>
      </c>
      <c r="G225" s="2" t="s">
        <v>14</v>
      </c>
      <c r="H225" s="2" t="s">
        <v>132</v>
      </c>
      <c r="I225" s="2" t="s">
        <v>1051</v>
      </c>
      <c r="J225" s="2" t="s">
        <v>1052</v>
      </c>
      <c r="K225" s="2" t="s">
        <v>1565</v>
      </c>
      <c r="L225" s="2" t="s">
        <v>1567</v>
      </c>
      <c r="M225" s="5" t="s">
        <v>1574</v>
      </c>
      <c r="N225" s="8" t="s">
        <v>1578</v>
      </c>
      <c r="O225" s="2">
        <f ca="1">DATEDIF(Addmisson[[#This Row],[Student_DOB]],TODAY(),"y")</f>
        <v>21</v>
      </c>
      <c r="P225" s="2" t="str">
        <f>TEXT(Addmisson[[#This Row],[Admission_Date]],"mmmm")</f>
        <v>August</v>
      </c>
      <c r="Q225" s="2">
        <f>YEAR(Addmisson[[#This Row],[Admission_Date]])</f>
        <v>2025</v>
      </c>
    </row>
    <row r="226" spans="1:17" x14ac:dyDescent="0.25">
      <c r="A226" s="7" t="s">
        <v>323</v>
      </c>
      <c r="B226" s="3">
        <v>45896</v>
      </c>
      <c r="C226" s="2" t="s">
        <v>772</v>
      </c>
      <c r="D226" s="2" t="s">
        <v>1285</v>
      </c>
      <c r="E226" s="3">
        <v>37487</v>
      </c>
      <c r="F226" s="2" t="s">
        <v>127</v>
      </c>
      <c r="G226" s="2" t="s">
        <v>127</v>
      </c>
      <c r="H226" s="2" t="s">
        <v>133</v>
      </c>
      <c r="I226" s="2" t="s">
        <v>1053</v>
      </c>
      <c r="J226" s="2" t="s">
        <v>1052</v>
      </c>
      <c r="K226" s="2" t="s">
        <v>1558</v>
      </c>
      <c r="L226" s="2" t="s">
        <v>1567</v>
      </c>
      <c r="M226" s="5" t="s">
        <v>1576</v>
      </c>
      <c r="N226" s="8" t="s">
        <v>1578</v>
      </c>
      <c r="O226" s="2">
        <f ca="1">DATEDIF(Addmisson[[#This Row],[Student_DOB]],TODAY(),"y")</f>
        <v>24</v>
      </c>
      <c r="P226" s="2" t="str">
        <f>TEXT(Addmisson[[#This Row],[Admission_Date]],"mmmm")</f>
        <v>August</v>
      </c>
      <c r="Q226" s="2">
        <f>YEAR(Addmisson[[#This Row],[Admission_Date]])</f>
        <v>2025</v>
      </c>
    </row>
    <row r="227" spans="1:17" x14ac:dyDescent="0.25">
      <c r="A227" s="7" t="s">
        <v>324</v>
      </c>
      <c r="B227" s="3">
        <v>45897</v>
      </c>
      <c r="C227" s="2" t="s">
        <v>773</v>
      </c>
      <c r="D227" s="2" t="s">
        <v>1286</v>
      </c>
      <c r="E227" s="3">
        <v>38057</v>
      </c>
      <c r="F227" s="2" t="s">
        <v>138</v>
      </c>
      <c r="G227" s="2" t="s">
        <v>138</v>
      </c>
      <c r="H227" s="2" t="s">
        <v>138</v>
      </c>
      <c r="I227" s="2" t="s">
        <v>1054</v>
      </c>
      <c r="J227" s="2" t="s">
        <v>1052</v>
      </c>
      <c r="K227" s="2" t="s">
        <v>1559</v>
      </c>
      <c r="L227" s="2" t="s">
        <v>1567</v>
      </c>
      <c r="M227" s="5" t="s">
        <v>1577</v>
      </c>
      <c r="N227" s="8" t="s">
        <v>1578</v>
      </c>
      <c r="O227" s="2">
        <f ca="1">DATEDIF(Addmisson[[#This Row],[Student_DOB]],TODAY(),"y")</f>
        <v>22</v>
      </c>
      <c r="P227" s="2" t="str">
        <f>TEXT(Addmisson[[#This Row],[Admission_Date]],"mmmm")</f>
        <v>August</v>
      </c>
      <c r="Q227" s="2">
        <f>YEAR(Addmisson[[#This Row],[Admission_Date]])</f>
        <v>2025</v>
      </c>
    </row>
    <row r="228" spans="1:17" x14ac:dyDescent="0.25">
      <c r="A228" s="7" t="s">
        <v>325</v>
      </c>
      <c r="B228" s="3">
        <v>45898</v>
      </c>
      <c r="C228" s="2" t="s">
        <v>774</v>
      </c>
      <c r="D228" s="2" t="s">
        <v>1287</v>
      </c>
      <c r="E228" s="3">
        <v>38653</v>
      </c>
      <c r="F228" s="2" t="s">
        <v>127</v>
      </c>
      <c r="G228" s="2" t="s">
        <v>127</v>
      </c>
      <c r="H228" s="2" t="s">
        <v>141</v>
      </c>
      <c r="I228" s="2" t="s">
        <v>1055</v>
      </c>
      <c r="J228" s="2" t="s">
        <v>1055</v>
      </c>
      <c r="K228" s="2" t="s">
        <v>1560</v>
      </c>
      <c r="L228" s="2" t="s">
        <v>1567</v>
      </c>
      <c r="M228" s="5" t="s">
        <v>1570</v>
      </c>
      <c r="N228" s="8" t="s">
        <v>1578</v>
      </c>
      <c r="O228" s="2">
        <f ca="1">DATEDIF(Addmisson[[#This Row],[Student_DOB]],TODAY(),"y")</f>
        <v>20</v>
      </c>
      <c r="P228" s="2" t="str">
        <f>TEXT(Addmisson[[#This Row],[Admission_Date]],"mmmm")</f>
        <v>August</v>
      </c>
      <c r="Q228" s="2">
        <f>YEAR(Addmisson[[#This Row],[Admission_Date]])</f>
        <v>2025</v>
      </c>
    </row>
    <row r="229" spans="1:17" x14ac:dyDescent="0.25">
      <c r="A229" s="7" t="s">
        <v>326</v>
      </c>
      <c r="B229" s="3">
        <v>45899</v>
      </c>
      <c r="C229" s="2" t="s">
        <v>775</v>
      </c>
      <c r="D229" s="2" t="s">
        <v>1288</v>
      </c>
      <c r="E229" s="3">
        <v>38175</v>
      </c>
      <c r="F229" s="2" t="s">
        <v>138</v>
      </c>
      <c r="G229" s="2" t="s">
        <v>138</v>
      </c>
      <c r="H229" s="2" t="s">
        <v>138</v>
      </c>
      <c r="I229" s="2" t="s">
        <v>16</v>
      </c>
      <c r="J229" s="2" t="s">
        <v>1056</v>
      </c>
      <c r="K229" s="2" t="s">
        <v>1561</v>
      </c>
      <c r="L229" s="2" t="s">
        <v>1567</v>
      </c>
      <c r="M229" s="5" t="s">
        <v>1575</v>
      </c>
      <c r="N229" s="8" t="s">
        <v>1578</v>
      </c>
      <c r="O229" s="2">
        <f ca="1">DATEDIF(Addmisson[[#This Row],[Student_DOB]],TODAY(),"y")</f>
        <v>22</v>
      </c>
      <c r="P229" s="2" t="str">
        <f>TEXT(Addmisson[[#This Row],[Admission_Date]],"mmmm")</f>
        <v>August</v>
      </c>
      <c r="Q229" s="2">
        <f>YEAR(Addmisson[[#This Row],[Admission_Date]])</f>
        <v>2025</v>
      </c>
    </row>
    <row r="230" spans="1:17" x14ac:dyDescent="0.25">
      <c r="A230" s="7" t="s">
        <v>327</v>
      </c>
      <c r="B230" s="3">
        <v>45900</v>
      </c>
      <c r="C230" s="2" t="s">
        <v>776</v>
      </c>
      <c r="D230" s="2" t="s">
        <v>1289</v>
      </c>
      <c r="E230" s="3">
        <v>38399</v>
      </c>
      <c r="F230" s="2" t="s">
        <v>127</v>
      </c>
      <c r="G230" s="2" t="s">
        <v>127</v>
      </c>
      <c r="H230" s="2" t="s">
        <v>141</v>
      </c>
      <c r="I230" s="2" t="s">
        <v>1057</v>
      </c>
      <c r="J230" s="2" t="s">
        <v>1058</v>
      </c>
      <c r="K230" s="2" t="s">
        <v>1562</v>
      </c>
      <c r="L230" s="2" t="s">
        <v>1567</v>
      </c>
      <c r="M230" s="5" t="s">
        <v>1571</v>
      </c>
      <c r="N230" s="8" t="s">
        <v>1578</v>
      </c>
      <c r="O230" s="2">
        <f ca="1">DATEDIF(Addmisson[[#This Row],[Student_DOB]],TODAY(),"y")</f>
        <v>21</v>
      </c>
      <c r="P230" s="2" t="str">
        <f>TEXT(Addmisson[[#This Row],[Admission_Date]],"mmmm")</f>
        <v>August</v>
      </c>
      <c r="Q230" s="2">
        <f>YEAR(Addmisson[[#This Row],[Admission_Date]])</f>
        <v>2025</v>
      </c>
    </row>
    <row r="231" spans="1:17" x14ac:dyDescent="0.25">
      <c r="A231" s="7" t="s">
        <v>328</v>
      </c>
      <c r="B231" s="3">
        <v>45901</v>
      </c>
      <c r="C231" s="2" t="s">
        <v>777</v>
      </c>
      <c r="D231" s="2" t="s">
        <v>1290</v>
      </c>
      <c r="E231" s="3">
        <v>38107</v>
      </c>
      <c r="F231" s="2" t="s">
        <v>129</v>
      </c>
      <c r="G231" s="2" t="s">
        <v>129</v>
      </c>
      <c r="H231" s="2" t="s">
        <v>143</v>
      </c>
      <c r="I231" s="2" t="s">
        <v>1059</v>
      </c>
      <c r="J231" s="2" t="s">
        <v>1059</v>
      </c>
      <c r="K231" s="2" t="s">
        <v>1563</v>
      </c>
      <c r="L231" s="2" t="s">
        <v>1567</v>
      </c>
      <c r="M231" s="5" t="s">
        <v>1572</v>
      </c>
      <c r="N231" s="8" t="s">
        <v>1578</v>
      </c>
      <c r="O231" s="2">
        <f ca="1">DATEDIF(Addmisson[[#This Row],[Student_DOB]],TODAY(),"y")</f>
        <v>22</v>
      </c>
      <c r="P231" s="2" t="str">
        <f>TEXT(Addmisson[[#This Row],[Admission_Date]],"mmmm")</f>
        <v>September</v>
      </c>
      <c r="Q231" s="2">
        <f>YEAR(Addmisson[[#This Row],[Admission_Date]])</f>
        <v>2025</v>
      </c>
    </row>
    <row r="232" spans="1:17" x14ac:dyDescent="0.25">
      <c r="A232" s="7" t="s">
        <v>329</v>
      </c>
      <c r="B232" s="3">
        <v>45902</v>
      </c>
      <c r="C232" s="2" t="s">
        <v>778</v>
      </c>
      <c r="D232" s="2" t="s">
        <v>1291</v>
      </c>
      <c r="E232" s="3">
        <v>40156</v>
      </c>
      <c r="F232" s="2" t="s">
        <v>14</v>
      </c>
      <c r="G232" s="2" t="s">
        <v>14</v>
      </c>
      <c r="H232" s="2" t="s">
        <v>15</v>
      </c>
      <c r="I232" s="2" t="s">
        <v>1060</v>
      </c>
      <c r="J232" s="2" t="s">
        <v>21</v>
      </c>
      <c r="K232" s="2" t="s">
        <v>1564</v>
      </c>
      <c r="L232" s="2" t="s">
        <v>1567</v>
      </c>
      <c r="M232" s="5" t="s">
        <v>1573</v>
      </c>
      <c r="N232" s="8" t="s">
        <v>1578</v>
      </c>
      <c r="O232" s="2">
        <f ca="1">DATEDIF(Addmisson[[#This Row],[Student_DOB]],TODAY(),"y")</f>
        <v>16</v>
      </c>
      <c r="P232" s="2" t="str">
        <f>TEXT(Addmisson[[#This Row],[Admission_Date]],"mmmm")</f>
        <v>September</v>
      </c>
      <c r="Q232" s="2">
        <f>YEAR(Addmisson[[#This Row],[Admission_Date]])</f>
        <v>2025</v>
      </c>
    </row>
    <row r="233" spans="1:17" x14ac:dyDescent="0.25">
      <c r="A233" s="7" t="s">
        <v>330</v>
      </c>
      <c r="B233" s="3">
        <v>45903</v>
      </c>
      <c r="C233" s="2" t="s">
        <v>779</v>
      </c>
      <c r="D233" s="2" t="s">
        <v>1292</v>
      </c>
      <c r="E233" s="3">
        <v>38159</v>
      </c>
      <c r="F233" s="2" t="s">
        <v>145</v>
      </c>
      <c r="G233" s="2" t="s">
        <v>145</v>
      </c>
      <c r="H233" s="2" t="s">
        <v>145</v>
      </c>
      <c r="I233" s="2" t="s">
        <v>1047</v>
      </c>
      <c r="J233" s="2" t="s">
        <v>1048</v>
      </c>
      <c r="K233" s="2" t="s">
        <v>1565</v>
      </c>
      <c r="L233" s="2" t="s">
        <v>1567</v>
      </c>
      <c r="M233" s="5" t="s">
        <v>1570</v>
      </c>
      <c r="N233" s="8" t="s">
        <v>1578</v>
      </c>
      <c r="O233" s="2">
        <f ca="1">DATEDIF(Addmisson[[#This Row],[Student_DOB]],TODAY(),"y")</f>
        <v>22</v>
      </c>
      <c r="P233" s="2" t="str">
        <f>TEXT(Addmisson[[#This Row],[Admission_Date]],"mmmm")</f>
        <v>September</v>
      </c>
      <c r="Q233" s="2">
        <f>YEAR(Addmisson[[#This Row],[Admission_Date]])</f>
        <v>2025</v>
      </c>
    </row>
    <row r="234" spans="1:17" x14ac:dyDescent="0.25">
      <c r="A234" s="7" t="s">
        <v>331</v>
      </c>
      <c r="B234" s="3">
        <v>45904</v>
      </c>
      <c r="C234" s="2" t="s">
        <v>780</v>
      </c>
      <c r="D234" s="2" t="s">
        <v>1293</v>
      </c>
      <c r="E234" s="3">
        <v>38599</v>
      </c>
      <c r="F234" s="2" t="s">
        <v>127</v>
      </c>
      <c r="G234" s="2" t="s">
        <v>127</v>
      </c>
      <c r="H234" s="2" t="s">
        <v>144</v>
      </c>
      <c r="I234" s="2" t="s">
        <v>1049</v>
      </c>
      <c r="J234" s="2" t="s">
        <v>1050</v>
      </c>
      <c r="K234" s="2" t="s">
        <v>1558</v>
      </c>
      <c r="L234" s="2" t="s">
        <v>1568</v>
      </c>
      <c r="M234" s="5" t="s">
        <v>1575</v>
      </c>
      <c r="N234" s="8" t="s">
        <v>1578</v>
      </c>
      <c r="O234" s="2">
        <f ca="1">DATEDIF(Addmisson[[#This Row],[Student_DOB]],TODAY(),"y")</f>
        <v>21</v>
      </c>
      <c r="P234" s="2" t="str">
        <f>TEXT(Addmisson[[#This Row],[Admission_Date]],"mmmm")</f>
        <v>September</v>
      </c>
      <c r="Q234" s="2">
        <f>YEAR(Addmisson[[#This Row],[Admission_Date]])</f>
        <v>2025</v>
      </c>
    </row>
    <row r="235" spans="1:17" x14ac:dyDescent="0.25">
      <c r="A235" s="7" t="s">
        <v>332</v>
      </c>
      <c r="B235" s="3">
        <v>45905</v>
      </c>
      <c r="C235" s="2" t="s">
        <v>781</v>
      </c>
      <c r="D235" s="2" t="s">
        <v>1160</v>
      </c>
      <c r="E235" s="3">
        <v>37999</v>
      </c>
      <c r="F235" s="2" t="s">
        <v>129</v>
      </c>
      <c r="G235" s="2" t="s">
        <v>129</v>
      </c>
      <c r="H235" s="2" t="s">
        <v>147</v>
      </c>
      <c r="I235" s="2" t="s">
        <v>1051</v>
      </c>
      <c r="J235" s="2" t="s">
        <v>1052</v>
      </c>
      <c r="K235" s="2" t="s">
        <v>1559</v>
      </c>
      <c r="L235" s="2" t="s">
        <v>1567</v>
      </c>
      <c r="M235" s="5" t="s">
        <v>1571</v>
      </c>
      <c r="N235" s="8" t="s">
        <v>1578</v>
      </c>
      <c r="O235" s="2">
        <f ca="1">DATEDIF(Addmisson[[#This Row],[Student_DOB]],TODAY(),"y")</f>
        <v>22</v>
      </c>
      <c r="P235" s="2" t="str">
        <f>TEXT(Addmisson[[#This Row],[Admission_Date]],"mmmm")</f>
        <v>September</v>
      </c>
      <c r="Q235" s="2">
        <f>YEAR(Addmisson[[#This Row],[Admission_Date]])</f>
        <v>2025</v>
      </c>
    </row>
    <row r="236" spans="1:17" x14ac:dyDescent="0.25">
      <c r="A236" s="7" t="s">
        <v>333</v>
      </c>
      <c r="B236" s="3">
        <v>45906</v>
      </c>
      <c r="C236" s="2" t="s">
        <v>782</v>
      </c>
      <c r="D236" s="2" t="s">
        <v>1294</v>
      </c>
      <c r="E236" s="3">
        <v>38558</v>
      </c>
      <c r="F236" s="2" t="s">
        <v>27</v>
      </c>
      <c r="G236" s="2" t="s">
        <v>27</v>
      </c>
      <c r="H236" s="2" t="s">
        <v>131</v>
      </c>
      <c r="I236" s="2" t="s">
        <v>1053</v>
      </c>
      <c r="J236" s="2" t="s">
        <v>1052</v>
      </c>
      <c r="K236" s="2" t="s">
        <v>1560</v>
      </c>
      <c r="L236" s="2" t="s">
        <v>1567</v>
      </c>
      <c r="M236" s="5" t="s">
        <v>1572</v>
      </c>
      <c r="N236" s="8" t="s">
        <v>1578</v>
      </c>
      <c r="O236" s="2">
        <f ca="1">DATEDIF(Addmisson[[#This Row],[Student_DOB]],TODAY(),"y")</f>
        <v>21</v>
      </c>
      <c r="P236" s="2" t="str">
        <f>TEXT(Addmisson[[#This Row],[Admission_Date]],"mmmm")</f>
        <v>September</v>
      </c>
      <c r="Q236" s="2">
        <f>YEAR(Addmisson[[#This Row],[Admission_Date]])</f>
        <v>2025</v>
      </c>
    </row>
    <row r="237" spans="1:17" x14ac:dyDescent="0.25">
      <c r="A237" s="7" t="s">
        <v>334</v>
      </c>
      <c r="B237" s="3">
        <v>45907</v>
      </c>
      <c r="C237" s="2" t="s">
        <v>783</v>
      </c>
      <c r="D237" s="2" t="s">
        <v>1295</v>
      </c>
      <c r="E237" s="3">
        <v>38064</v>
      </c>
      <c r="F237" s="2" t="s">
        <v>127</v>
      </c>
      <c r="G237" s="2" t="s">
        <v>127</v>
      </c>
      <c r="H237" s="2" t="s">
        <v>146</v>
      </c>
      <c r="I237" s="2" t="s">
        <v>1054</v>
      </c>
      <c r="J237" s="2" t="s">
        <v>1052</v>
      </c>
      <c r="K237" s="2" t="s">
        <v>1561</v>
      </c>
      <c r="L237" s="2" t="s">
        <v>1568</v>
      </c>
      <c r="M237" s="5" t="s">
        <v>1573</v>
      </c>
      <c r="N237" s="8" t="s">
        <v>1578</v>
      </c>
      <c r="O237" s="2">
        <f ca="1">DATEDIF(Addmisson[[#This Row],[Student_DOB]],TODAY(),"y")</f>
        <v>22</v>
      </c>
      <c r="P237" s="2" t="str">
        <f>TEXT(Addmisson[[#This Row],[Admission_Date]],"mmmm")</f>
        <v>September</v>
      </c>
      <c r="Q237" s="2">
        <f>YEAR(Addmisson[[#This Row],[Admission_Date]])</f>
        <v>2025</v>
      </c>
    </row>
    <row r="238" spans="1:17" x14ac:dyDescent="0.25">
      <c r="A238" s="7" t="s">
        <v>335</v>
      </c>
      <c r="B238" s="3">
        <v>45908</v>
      </c>
      <c r="C238" s="2" t="s">
        <v>784</v>
      </c>
      <c r="D238" s="2" t="s">
        <v>1296</v>
      </c>
      <c r="E238" s="3">
        <v>39027</v>
      </c>
      <c r="F238" s="2" t="s">
        <v>142</v>
      </c>
      <c r="G238" s="2" t="s">
        <v>142</v>
      </c>
      <c r="H238" s="2" t="s">
        <v>142</v>
      </c>
      <c r="I238" s="2" t="s">
        <v>1055</v>
      </c>
      <c r="J238" s="2" t="s">
        <v>1055</v>
      </c>
      <c r="K238" s="2" t="s">
        <v>1562</v>
      </c>
      <c r="L238" s="2" t="s">
        <v>1567</v>
      </c>
      <c r="M238" s="5" t="s">
        <v>1574</v>
      </c>
      <c r="N238" s="8" t="s">
        <v>1578</v>
      </c>
      <c r="O238" s="2">
        <f ca="1">DATEDIF(Addmisson[[#This Row],[Student_DOB]],TODAY(),"y")</f>
        <v>19</v>
      </c>
      <c r="P238" s="2" t="str">
        <f>TEXT(Addmisson[[#This Row],[Admission_Date]],"mmmm")</f>
        <v>September</v>
      </c>
      <c r="Q238" s="2">
        <f>YEAR(Addmisson[[#This Row],[Admission_Date]])</f>
        <v>2025</v>
      </c>
    </row>
    <row r="239" spans="1:17" x14ac:dyDescent="0.25">
      <c r="A239" s="7" t="s">
        <v>336</v>
      </c>
      <c r="B239" s="3">
        <v>45909</v>
      </c>
      <c r="C239" s="2" t="s">
        <v>785</v>
      </c>
      <c r="D239" s="2" t="s">
        <v>1297</v>
      </c>
      <c r="E239" s="3">
        <v>38136</v>
      </c>
      <c r="F239" s="2" t="s">
        <v>129</v>
      </c>
      <c r="G239" s="2" t="s">
        <v>129</v>
      </c>
      <c r="H239" s="2" t="s">
        <v>130</v>
      </c>
      <c r="I239" s="2" t="s">
        <v>16</v>
      </c>
      <c r="J239" s="2" t="s">
        <v>1056</v>
      </c>
      <c r="K239" s="2" t="s">
        <v>1563</v>
      </c>
      <c r="L239" s="2" t="s">
        <v>1568</v>
      </c>
      <c r="M239" s="5" t="s">
        <v>1576</v>
      </c>
      <c r="N239" s="8" t="s">
        <v>1578</v>
      </c>
      <c r="O239" s="2">
        <f ca="1">DATEDIF(Addmisson[[#This Row],[Student_DOB]],TODAY(),"y")</f>
        <v>22</v>
      </c>
      <c r="P239" s="2" t="str">
        <f>TEXT(Addmisson[[#This Row],[Admission_Date]],"mmmm")</f>
        <v>September</v>
      </c>
      <c r="Q239" s="2">
        <f>YEAR(Addmisson[[#This Row],[Admission_Date]])</f>
        <v>2025</v>
      </c>
    </row>
    <row r="240" spans="1:17" x14ac:dyDescent="0.25">
      <c r="A240" s="7" t="s">
        <v>337</v>
      </c>
      <c r="B240" s="3">
        <v>45910</v>
      </c>
      <c r="C240" s="2" t="s">
        <v>786</v>
      </c>
      <c r="D240" s="2" t="s">
        <v>1298</v>
      </c>
      <c r="E240" s="3">
        <v>38576</v>
      </c>
      <c r="F240" s="2" t="s">
        <v>127</v>
      </c>
      <c r="G240" s="2" t="s">
        <v>127</v>
      </c>
      <c r="H240" s="2" t="s">
        <v>128</v>
      </c>
      <c r="I240" s="2" t="s">
        <v>1057</v>
      </c>
      <c r="J240" s="2" t="s">
        <v>1058</v>
      </c>
      <c r="K240" s="2" t="s">
        <v>1564</v>
      </c>
      <c r="L240" s="2" t="s">
        <v>1568</v>
      </c>
      <c r="M240" s="5" t="s">
        <v>1577</v>
      </c>
      <c r="N240" s="8" t="s">
        <v>1578</v>
      </c>
      <c r="O240" s="2">
        <f ca="1">DATEDIF(Addmisson[[#This Row],[Student_DOB]],TODAY(),"y")</f>
        <v>21</v>
      </c>
      <c r="P240" s="2" t="str">
        <f>TEXT(Addmisson[[#This Row],[Admission_Date]],"mmmm")</f>
        <v>September</v>
      </c>
      <c r="Q240" s="2">
        <f>YEAR(Addmisson[[#This Row],[Admission_Date]])</f>
        <v>2025</v>
      </c>
    </row>
    <row r="241" spans="1:17" x14ac:dyDescent="0.25">
      <c r="A241" s="7" t="s">
        <v>338</v>
      </c>
      <c r="B241" s="3">
        <v>45911</v>
      </c>
      <c r="C241" s="2" t="s">
        <v>787</v>
      </c>
      <c r="D241" s="2" t="s">
        <v>1299</v>
      </c>
      <c r="E241" s="3">
        <v>38263</v>
      </c>
      <c r="F241" s="2" t="s">
        <v>148</v>
      </c>
      <c r="G241" s="2" t="s">
        <v>148</v>
      </c>
      <c r="H241" s="2" t="s">
        <v>148</v>
      </c>
      <c r="I241" s="2" t="s">
        <v>1059</v>
      </c>
      <c r="J241" s="2" t="s">
        <v>1059</v>
      </c>
      <c r="K241" s="2" t="s">
        <v>1565</v>
      </c>
      <c r="L241" s="2" t="s">
        <v>1567</v>
      </c>
      <c r="M241" s="5" t="s">
        <v>1570</v>
      </c>
      <c r="N241" s="8" t="s">
        <v>1578</v>
      </c>
      <c r="O241" s="2">
        <f ca="1">DATEDIF(Addmisson[[#This Row],[Student_DOB]],TODAY(),"y")</f>
        <v>22</v>
      </c>
      <c r="P241" s="2" t="str">
        <f>TEXT(Addmisson[[#This Row],[Admission_Date]],"mmmm")</f>
        <v>September</v>
      </c>
      <c r="Q241" s="2">
        <f>YEAR(Addmisson[[#This Row],[Admission_Date]])</f>
        <v>2025</v>
      </c>
    </row>
    <row r="242" spans="1:17" x14ac:dyDescent="0.25">
      <c r="A242" s="7" t="s">
        <v>339</v>
      </c>
      <c r="B242" s="3">
        <v>45912</v>
      </c>
      <c r="C242" s="2" t="s">
        <v>788</v>
      </c>
      <c r="D242" s="2" t="s">
        <v>1300</v>
      </c>
      <c r="E242" s="3">
        <v>38405</v>
      </c>
      <c r="F242" s="2" t="s">
        <v>14</v>
      </c>
      <c r="G242" s="2" t="s">
        <v>14</v>
      </c>
      <c r="H242" s="2" t="s">
        <v>132</v>
      </c>
      <c r="I242" s="2" t="s">
        <v>1060</v>
      </c>
      <c r="J242" s="2" t="s">
        <v>21</v>
      </c>
      <c r="K242" s="2" t="s">
        <v>1558</v>
      </c>
      <c r="L242" s="2" t="s">
        <v>1567</v>
      </c>
      <c r="M242" s="5" t="s">
        <v>1575</v>
      </c>
      <c r="N242" s="8" t="s">
        <v>1578</v>
      </c>
      <c r="O242" s="2">
        <f ca="1">DATEDIF(Addmisson[[#This Row],[Student_DOB]],TODAY(),"y")</f>
        <v>21</v>
      </c>
      <c r="P242" s="2" t="str">
        <f>TEXT(Addmisson[[#This Row],[Admission_Date]],"mmmm")</f>
        <v>September</v>
      </c>
      <c r="Q242" s="2">
        <f>YEAR(Addmisson[[#This Row],[Admission_Date]])</f>
        <v>2025</v>
      </c>
    </row>
    <row r="243" spans="1:17" x14ac:dyDescent="0.25">
      <c r="A243" s="7" t="s">
        <v>340</v>
      </c>
      <c r="B243" s="3">
        <v>45913</v>
      </c>
      <c r="C243" s="2" t="s">
        <v>789</v>
      </c>
      <c r="D243" s="2" t="s">
        <v>1301</v>
      </c>
      <c r="E243" s="3">
        <v>38092</v>
      </c>
      <c r="F243" s="2" t="s">
        <v>127</v>
      </c>
      <c r="G243" s="2" t="s">
        <v>127</v>
      </c>
      <c r="H243" s="2" t="s">
        <v>133</v>
      </c>
      <c r="I243" s="2" t="s">
        <v>1047</v>
      </c>
      <c r="J243" s="2" t="s">
        <v>1048</v>
      </c>
      <c r="K243" s="2" t="s">
        <v>1559</v>
      </c>
      <c r="L243" s="2" t="s">
        <v>1568</v>
      </c>
      <c r="M243" s="5" t="s">
        <v>1571</v>
      </c>
      <c r="N243" s="8" t="s">
        <v>1578</v>
      </c>
      <c r="O243" s="2">
        <f ca="1">DATEDIF(Addmisson[[#This Row],[Student_DOB]],TODAY(),"y")</f>
        <v>22</v>
      </c>
      <c r="P243" s="2" t="str">
        <f>TEXT(Addmisson[[#This Row],[Admission_Date]],"mmmm")</f>
        <v>September</v>
      </c>
      <c r="Q243" s="2">
        <f>YEAR(Addmisson[[#This Row],[Admission_Date]])</f>
        <v>2025</v>
      </c>
    </row>
    <row r="244" spans="1:17" x14ac:dyDescent="0.25">
      <c r="A244" s="7" t="s">
        <v>341</v>
      </c>
      <c r="B244" s="3">
        <v>45914</v>
      </c>
      <c r="C244" s="2" t="s">
        <v>790</v>
      </c>
      <c r="D244" s="2" t="s">
        <v>1302</v>
      </c>
      <c r="E244" s="3">
        <v>38622</v>
      </c>
      <c r="F244" s="2" t="s">
        <v>138</v>
      </c>
      <c r="G244" s="2" t="s">
        <v>138</v>
      </c>
      <c r="H244" s="2" t="s">
        <v>138</v>
      </c>
      <c r="I244" s="2" t="s">
        <v>1049</v>
      </c>
      <c r="J244" s="2" t="s">
        <v>1050</v>
      </c>
      <c r="K244" s="2" t="s">
        <v>1560</v>
      </c>
      <c r="L244" s="2" t="s">
        <v>1567</v>
      </c>
      <c r="M244" s="5" t="s">
        <v>1572</v>
      </c>
      <c r="N244" s="8" t="s">
        <v>1578</v>
      </c>
      <c r="O244" s="2">
        <f ca="1">DATEDIF(Addmisson[[#This Row],[Student_DOB]],TODAY(),"y")</f>
        <v>21</v>
      </c>
      <c r="P244" s="2" t="str">
        <f>TEXT(Addmisson[[#This Row],[Admission_Date]],"mmmm")</f>
        <v>September</v>
      </c>
      <c r="Q244" s="2">
        <f>YEAR(Addmisson[[#This Row],[Admission_Date]])</f>
        <v>2025</v>
      </c>
    </row>
    <row r="245" spans="1:17" x14ac:dyDescent="0.25">
      <c r="A245" s="7" t="s">
        <v>342</v>
      </c>
      <c r="B245" s="3">
        <v>45915</v>
      </c>
      <c r="C245" s="2" t="s">
        <v>791</v>
      </c>
      <c r="D245" s="2" t="s">
        <v>1303</v>
      </c>
      <c r="E245" s="3">
        <v>38329</v>
      </c>
      <c r="F245" s="2" t="s">
        <v>127</v>
      </c>
      <c r="G245" s="2" t="s">
        <v>127</v>
      </c>
      <c r="H245" s="2" t="s">
        <v>141</v>
      </c>
      <c r="I245" s="2" t="s">
        <v>1051</v>
      </c>
      <c r="J245" s="2" t="s">
        <v>1052</v>
      </c>
      <c r="K245" s="2" t="s">
        <v>1561</v>
      </c>
      <c r="L245" s="2" t="s">
        <v>1567</v>
      </c>
      <c r="M245" s="5" t="s">
        <v>1573</v>
      </c>
      <c r="N245" s="8" t="s">
        <v>1578</v>
      </c>
      <c r="O245" s="2">
        <f ca="1">DATEDIF(Addmisson[[#This Row],[Student_DOB]],TODAY(),"y")</f>
        <v>21</v>
      </c>
      <c r="P245" s="2" t="str">
        <f>TEXT(Addmisson[[#This Row],[Admission_Date]],"mmmm")</f>
        <v>September</v>
      </c>
      <c r="Q245" s="2">
        <f>YEAR(Addmisson[[#This Row],[Admission_Date]])</f>
        <v>2025</v>
      </c>
    </row>
    <row r="246" spans="1:17" x14ac:dyDescent="0.25">
      <c r="A246" s="7" t="s">
        <v>343</v>
      </c>
      <c r="B246" s="3">
        <v>45916</v>
      </c>
      <c r="C246" s="2" t="s">
        <v>792</v>
      </c>
      <c r="D246" s="2" t="s">
        <v>1304</v>
      </c>
      <c r="E246" s="3">
        <v>38522</v>
      </c>
      <c r="F246" s="2" t="s">
        <v>129</v>
      </c>
      <c r="G246" s="2" t="s">
        <v>129</v>
      </c>
      <c r="H246" s="2" t="s">
        <v>143</v>
      </c>
      <c r="I246" s="2" t="s">
        <v>1053</v>
      </c>
      <c r="J246" s="2" t="s">
        <v>1052</v>
      </c>
      <c r="K246" s="2" t="s">
        <v>1562</v>
      </c>
      <c r="L246" s="2" t="s">
        <v>1568</v>
      </c>
      <c r="M246" s="5" t="s">
        <v>1574</v>
      </c>
      <c r="N246" s="8" t="s">
        <v>1578</v>
      </c>
      <c r="O246" s="2">
        <f ca="1">DATEDIF(Addmisson[[#This Row],[Student_DOB]],TODAY(),"y")</f>
        <v>21</v>
      </c>
      <c r="P246" s="2" t="str">
        <f>TEXT(Addmisson[[#This Row],[Admission_Date]],"mmmm")</f>
        <v>September</v>
      </c>
      <c r="Q246" s="2">
        <f>YEAR(Addmisson[[#This Row],[Admission_Date]])</f>
        <v>2025</v>
      </c>
    </row>
    <row r="247" spans="1:17" x14ac:dyDescent="0.25">
      <c r="A247" s="7" t="s">
        <v>344</v>
      </c>
      <c r="B247" s="3">
        <v>45917</v>
      </c>
      <c r="C247" s="2" t="s">
        <v>793</v>
      </c>
      <c r="D247" s="2" t="s">
        <v>1305</v>
      </c>
      <c r="E247" s="3">
        <v>39471</v>
      </c>
      <c r="F247" s="2" t="s">
        <v>14</v>
      </c>
      <c r="G247" s="2" t="s">
        <v>14</v>
      </c>
      <c r="H247" s="2" t="s">
        <v>15</v>
      </c>
      <c r="I247" s="2" t="s">
        <v>1054</v>
      </c>
      <c r="J247" s="2" t="s">
        <v>1052</v>
      </c>
      <c r="K247" s="2" t="s">
        <v>1563</v>
      </c>
      <c r="L247" s="2" t="s">
        <v>1567</v>
      </c>
      <c r="M247" s="5" t="s">
        <v>1576</v>
      </c>
      <c r="N247" s="8" t="s">
        <v>1578</v>
      </c>
      <c r="O247" s="2">
        <f ca="1">DATEDIF(Addmisson[[#This Row],[Student_DOB]],TODAY(),"y")</f>
        <v>18</v>
      </c>
      <c r="P247" s="2" t="str">
        <f>TEXT(Addmisson[[#This Row],[Admission_Date]],"mmmm")</f>
        <v>September</v>
      </c>
      <c r="Q247" s="2">
        <f>YEAR(Addmisson[[#This Row],[Admission_Date]])</f>
        <v>2025</v>
      </c>
    </row>
    <row r="248" spans="1:17" x14ac:dyDescent="0.25">
      <c r="A248" s="7" t="s">
        <v>345</v>
      </c>
      <c r="B248" s="3">
        <v>45918</v>
      </c>
      <c r="C248" s="2" t="s">
        <v>794</v>
      </c>
      <c r="D248" s="2" t="s">
        <v>1306</v>
      </c>
      <c r="E248" s="3">
        <v>38535</v>
      </c>
      <c r="F248" s="2" t="s">
        <v>145</v>
      </c>
      <c r="G248" s="2" t="s">
        <v>145</v>
      </c>
      <c r="H248" s="2" t="s">
        <v>145</v>
      </c>
      <c r="I248" s="2" t="s">
        <v>1055</v>
      </c>
      <c r="J248" s="2" t="s">
        <v>1055</v>
      </c>
      <c r="K248" s="2" t="s">
        <v>1564</v>
      </c>
      <c r="L248" s="2" t="s">
        <v>1568</v>
      </c>
      <c r="M248" s="5" t="s">
        <v>1577</v>
      </c>
      <c r="N248" s="8" t="s">
        <v>1578</v>
      </c>
      <c r="O248" s="2">
        <f ca="1">DATEDIF(Addmisson[[#This Row],[Student_DOB]],TODAY(),"y")</f>
        <v>21</v>
      </c>
      <c r="P248" s="2" t="str">
        <f>TEXT(Addmisson[[#This Row],[Admission_Date]],"mmmm")</f>
        <v>September</v>
      </c>
      <c r="Q248" s="2">
        <f>YEAR(Addmisson[[#This Row],[Admission_Date]])</f>
        <v>2025</v>
      </c>
    </row>
    <row r="249" spans="1:17" x14ac:dyDescent="0.25">
      <c r="A249" s="7" t="s">
        <v>346</v>
      </c>
      <c r="B249" s="3">
        <v>45919</v>
      </c>
      <c r="C249" s="2" t="s">
        <v>795</v>
      </c>
      <c r="D249" s="2" t="s">
        <v>1307</v>
      </c>
      <c r="E249" s="3">
        <v>38301</v>
      </c>
      <c r="F249" s="2" t="s">
        <v>127</v>
      </c>
      <c r="G249" s="2" t="s">
        <v>127</v>
      </c>
      <c r="H249" s="2" t="s">
        <v>144</v>
      </c>
      <c r="I249" s="2" t="s">
        <v>16</v>
      </c>
      <c r="J249" s="2" t="s">
        <v>1056</v>
      </c>
      <c r="K249" s="2" t="s">
        <v>1565</v>
      </c>
      <c r="L249" s="2" t="s">
        <v>1568</v>
      </c>
      <c r="M249" s="5" t="s">
        <v>1570</v>
      </c>
      <c r="N249" s="8" t="s">
        <v>1578</v>
      </c>
      <c r="O249" s="2">
        <f ca="1">DATEDIF(Addmisson[[#This Row],[Student_DOB]],TODAY(),"y")</f>
        <v>21</v>
      </c>
      <c r="P249" s="2" t="str">
        <f>TEXT(Addmisson[[#This Row],[Admission_Date]],"mmmm")</f>
        <v>September</v>
      </c>
      <c r="Q249" s="2">
        <f>YEAR(Addmisson[[#This Row],[Admission_Date]])</f>
        <v>2025</v>
      </c>
    </row>
    <row r="250" spans="1:17" x14ac:dyDescent="0.25">
      <c r="A250" s="7" t="s">
        <v>347</v>
      </c>
      <c r="B250" s="3">
        <v>45920</v>
      </c>
      <c r="C250" s="2" t="s">
        <v>796</v>
      </c>
      <c r="D250" s="2" t="s">
        <v>1308</v>
      </c>
      <c r="E250" s="3">
        <v>38488</v>
      </c>
      <c r="F250" s="2" t="s">
        <v>129</v>
      </c>
      <c r="G250" s="2" t="s">
        <v>129</v>
      </c>
      <c r="H250" s="2" t="s">
        <v>147</v>
      </c>
      <c r="I250" s="2" t="s">
        <v>1057</v>
      </c>
      <c r="J250" s="2" t="s">
        <v>1058</v>
      </c>
      <c r="K250" s="2" t="s">
        <v>1558</v>
      </c>
      <c r="L250" s="2" t="s">
        <v>1567</v>
      </c>
      <c r="M250" s="5" t="s">
        <v>1575</v>
      </c>
      <c r="N250" s="8" t="s">
        <v>1578</v>
      </c>
      <c r="O250" s="2">
        <f ca="1">DATEDIF(Addmisson[[#This Row],[Student_DOB]],TODAY(),"y")</f>
        <v>21</v>
      </c>
      <c r="P250" s="2" t="str">
        <f>TEXT(Addmisson[[#This Row],[Admission_Date]],"mmmm")</f>
        <v>September</v>
      </c>
      <c r="Q250" s="2">
        <f>YEAR(Addmisson[[#This Row],[Admission_Date]])</f>
        <v>2025</v>
      </c>
    </row>
    <row r="251" spans="1:17" x14ac:dyDescent="0.25">
      <c r="A251" s="7" t="s">
        <v>348</v>
      </c>
      <c r="B251" s="3">
        <v>45921</v>
      </c>
      <c r="C251" s="2" t="s">
        <v>797</v>
      </c>
      <c r="D251" s="2" t="s">
        <v>1309</v>
      </c>
      <c r="E251" s="3">
        <v>38077</v>
      </c>
      <c r="F251" s="2" t="s">
        <v>27</v>
      </c>
      <c r="G251" s="2" t="s">
        <v>27</v>
      </c>
      <c r="H251" s="2" t="s">
        <v>131</v>
      </c>
      <c r="I251" s="2" t="s">
        <v>1059</v>
      </c>
      <c r="J251" s="2" t="s">
        <v>1059</v>
      </c>
      <c r="K251" s="2" t="s">
        <v>1559</v>
      </c>
      <c r="L251" s="2" t="s">
        <v>1567</v>
      </c>
      <c r="M251" s="5" t="s">
        <v>1571</v>
      </c>
      <c r="N251" s="8" t="s">
        <v>1578</v>
      </c>
      <c r="O251" s="2">
        <f ca="1">DATEDIF(Addmisson[[#This Row],[Student_DOB]],TODAY(),"y")</f>
        <v>22</v>
      </c>
      <c r="P251" s="2" t="str">
        <f>TEXT(Addmisson[[#This Row],[Admission_Date]],"mmmm")</f>
        <v>September</v>
      </c>
      <c r="Q251" s="2">
        <f>YEAR(Addmisson[[#This Row],[Admission_Date]])</f>
        <v>2025</v>
      </c>
    </row>
    <row r="252" spans="1:17" x14ac:dyDescent="0.25">
      <c r="A252" s="7" t="s">
        <v>349</v>
      </c>
      <c r="B252" s="3">
        <v>45922</v>
      </c>
      <c r="C252" s="2" t="s">
        <v>798</v>
      </c>
      <c r="D252" s="2" t="s">
        <v>1310</v>
      </c>
      <c r="E252" s="3">
        <v>38997</v>
      </c>
      <c r="F252" s="2" t="s">
        <v>127</v>
      </c>
      <c r="G252" s="2" t="s">
        <v>127</v>
      </c>
      <c r="H252" s="2" t="s">
        <v>146</v>
      </c>
      <c r="I252" s="2" t="s">
        <v>1060</v>
      </c>
      <c r="J252" s="2" t="s">
        <v>21</v>
      </c>
      <c r="K252" s="2" t="s">
        <v>1560</v>
      </c>
      <c r="L252" s="2" t="s">
        <v>1568</v>
      </c>
      <c r="M252" s="5" t="s">
        <v>1572</v>
      </c>
      <c r="N252" s="8" t="s">
        <v>1578</v>
      </c>
      <c r="O252" s="2">
        <f ca="1">DATEDIF(Addmisson[[#This Row],[Student_DOB]],TODAY(),"y")</f>
        <v>20</v>
      </c>
      <c r="P252" s="2" t="str">
        <f>TEXT(Addmisson[[#This Row],[Admission_Date]],"mmmm")</f>
        <v>September</v>
      </c>
      <c r="Q252" s="2">
        <f>YEAR(Addmisson[[#This Row],[Admission_Date]])</f>
        <v>2025</v>
      </c>
    </row>
    <row r="253" spans="1:17" x14ac:dyDescent="0.25">
      <c r="A253" s="7" t="s">
        <v>350</v>
      </c>
      <c r="B253" s="3">
        <v>45923</v>
      </c>
      <c r="C253" s="2" t="s">
        <v>799</v>
      </c>
      <c r="D253" s="2" t="s">
        <v>1311</v>
      </c>
      <c r="E253" s="3">
        <v>38219</v>
      </c>
      <c r="F253" s="2" t="s">
        <v>142</v>
      </c>
      <c r="G253" s="2" t="s">
        <v>142</v>
      </c>
      <c r="H253" s="2" t="s">
        <v>142</v>
      </c>
      <c r="I253" s="2" t="s">
        <v>1047</v>
      </c>
      <c r="J253" s="2" t="s">
        <v>1048</v>
      </c>
      <c r="K253" s="2" t="s">
        <v>1561</v>
      </c>
      <c r="L253" s="2" t="s">
        <v>1567</v>
      </c>
      <c r="M253" s="5" t="s">
        <v>1573</v>
      </c>
      <c r="N253" s="8" t="s">
        <v>1578</v>
      </c>
      <c r="O253" s="2">
        <f ca="1">DATEDIF(Addmisson[[#This Row],[Student_DOB]],TODAY(),"y")</f>
        <v>22</v>
      </c>
      <c r="P253" s="2" t="str">
        <f>TEXT(Addmisson[[#This Row],[Admission_Date]],"mmmm")</f>
        <v>September</v>
      </c>
      <c r="Q253" s="2">
        <f>YEAR(Addmisson[[#This Row],[Admission_Date]])</f>
        <v>2025</v>
      </c>
    </row>
    <row r="254" spans="1:17" x14ac:dyDescent="0.25">
      <c r="A254" s="7" t="s">
        <v>351</v>
      </c>
      <c r="B254" s="3">
        <v>45924</v>
      </c>
      <c r="C254" s="2" t="s">
        <v>800</v>
      </c>
      <c r="D254" s="2" t="s">
        <v>1312</v>
      </c>
      <c r="E254" s="3">
        <v>38366</v>
      </c>
      <c r="F254" s="2" t="s">
        <v>129</v>
      </c>
      <c r="G254" s="2" t="s">
        <v>129</v>
      </c>
      <c r="H254" s="2" t="s">
        <v>130</v>
      </c>
      <c r="I254" s="2" t="s">
        <v>1049</v>
      </c>
      <c r="J254" s="2" t="s">
        <v>1050</v>
      </c>
      <c r="K254" s="2" t="s">
        <v>1562</v>
      </c>
      <c r="L254" s="2" t="s">
        <v>1567</v>
      </c>
      <c r="M254" s="5" t="s">
        <v>1570</v>
      </c>
      <c r="N254" s="8" t="s">
        <v>1578</v>
      </c>
      <c r="O254" s="2">
        <f ca="1">DATEDIF(Addmisson[[#This Row],[Student_DOB]],TODAY(),"y")</f>
        <v>21</v>
      </c>
      <c r="P254" s="2" t="str">
        <f>TEXT(Addmisson[[#This Row],[Admission_Date]],"mmmm")</f>
        <v>September</v>
      </c>
      <c r="Q254" s="2">
        <f>YEAR(Addmisson[[#This Row],[Admission_Date]])</f>
        <v>2025</v>
      </c>
    </row>
    <row r="255" spans="1:17" x14ac:dyDescent="0.25">
      <c r="A255" s="7" t="s">
        <v>352</v>
      </c>
      <c r="B255" s="3">
        <v>45925</v>
      </c>
      <c r="C255" s="2" t="s">
        <v>801</v>
      </c>
      <c r="D255" s="2" t="s">
        <v>1313</v>
      </c>
      <c r="E255" s="3">
        <v>38143</v>
      </c>
      <c r="F255" s="2" t="s">
        <v>127</v>
      </c>
      <c r="G255" s="2" t="s">
        <v>127</v>
      </c>
      <c r="H255" s="2" t="s">
        <v>128</v>
      </c>
      <c r="I255" s="2" t="s">
        <v>1051</v>
      </c>
      <c r="J255" s="2" t="s">
        <v>1052</v>
      </c>
      <c r="K255" s="2" t="s">
        <v>1563</v>
      </c>
      <c r="L255" s="2" t="s">
        <v>1568</v>
      </c>
      <c r="M255" s="5" t="s">
        <v>1575</v>
      </c>
      <c r="N255" s="8" t="s">
        <v>1578</v>
      </c>
      <c r="O255" s="2">
        <f ca="1">DATEDIF(Addmisson[[#This Row],[Student_DOB]],TODAY(),"y")</f>
        <v>22</v>
      </c>
      <c r="P255" s="2" t="str">
        <f>TEXT(Addmisson[[#This Row],[Admission_Date]],"mmmm")</f>
        <v>September</v>
      </c>
      <c r="Q255" s="2">
        <f>YEAR(Addmisson[[#This Row],[Admission_Date]])</f>
        <v>2025</v>
      </c>
    </row>
    <row r="256" spans="1:17" x14ac:dyDescent="0.25">
      <c r="A256" s="7" t="s">
        <v>353</v>
      </c>
      <c r="B256" s="3">
        <v>45926</v>
      </c>
      <c r="C256" s="2" t="s">
        <v>802</v>
      </c>
      <c r="D256" s="2" t="s">
        <v>1314</v>
      </c>
      <c r="E256" s="3">
        <v>39810</v>
      </c>
      <c r="F256" s="2" t="s">
        <v>148</v>
      </c>
      <c r="G256" s="2" t="s">
        <v>148</v>
      </c>
      <c r="H256" s="2" t="s">
        <v>148</v>
      </c>
      <c r="I256" s="2" t="s">
        <v>1053</v>
      </c>
      <c r="J256" s="2" t="s">
        <v>1052</v>
      </c>
      <c r="K256" s="2" t="s">
        <v>1564</v>
      </c>
      <c r="L256" s="2" t="s">
        <v>1567</v>
      </c>
      <c r="M256" s="5" t="s">
        <v>1571</v>
      </c>
      <c r="N256" s="8" t="s">
        <v>1578</v>
      </c>
      <c r="O256" s="2">
        <f ca="1">DATEDIF(Addmisson[[#This Row],[Student_DOB]],TODAY(),"y")</f>
        <v>17</v>
      </c>
      <c r="P256" s="2" t="str">
        <f>TEXT(Addmisson[[#This Row],[Admission_Date]],"mmmm")</f>
        <v>September</v>
      </c>
      <c r="Q256" s="2">
        <f>YEAR(Addmisson[[#This Row],[Admission_Date]])</f>
        <v>2025</v>
      </c>
    </row>
    <row r="257" spans="1:17" x14ac:dyDescent="0.25">
      <c r="A257" s="7" t="s">
        <v>354</v>
      </c>
      <c r="B257" s="3">
        <v>45927</v>
      </c>
      <c r="C257" s="2" t="s">
        <v>803</v>
      </c>
      <c r="D257" s="2" t="s">
        <v>1315</v>
      </c>
      <c r="E257" s="3">
        <v>38247</v>
      </c>
      <c r="F257" s="2" t="s">
        <v>14</v>
      </c>
      <c r="G257" s="2" t="s">
        <v>14</v>
      </c>
      <c r="H257" s="2" t="s">
        <v>132</v>
      </c>
      <c r="I257" s="2" t="s">
        <v>1054</v>
      </c>
      <c r="J257" s="2" t="s">
        <v>1052</v>
      </c>
      <c r="K257" s="2" t="s">
        <v>1565</v>
      </c>
      <c r="L257" s="2" t="s">
        <v>1567</v>
      </c>
      <c r="M257" s="5" t="s">
        <v>1572</v>
      </c>
      <c r="N257" s="8" t="s">
        <v>1578</v>
      </c>
      <c r="O257" s="2">
        <f ca="1">DATEDIF(Addmisson[[#This Row],[Student_DOB]],TODAY(),"y")</f>
        <v>22</v>
      </c>
      <c r="P257" s="2" t="str">
        <f>TEXT(Addmisson[[#This Row],[Admission_Date]],"mmmm")</f>
        <v>September</v>
      </c>
      <c r="Q257" s="2">
        <f>YEAR(Addmisson[[#This Row],[Admission_Date]])</f>
        <v>2025</v>
      </c>
    </row>
    <row r="258" spans="1:17" x14ac:dyDescent="0.25">
      <c r="A258" s="7" t="s">
        <v>355</v>
      </c>
      <c r="B258" s="3">
        <v>45928</v>
      </c>
      <c r="C258" s="2" t="s">
        <v>804</v>
      </c>
      <c r="D258" s="2" t="s">
        <v>1316</v>
      </c>
      <c r="E258" s="3">
        <v>38445</v>
      </c>
      <c r="F258" s="2" t="s">
        <v>127</v>
      </c>
      <c r="G258" s="2" t="s">
        <v>127</v>
      </c>
      <c r="H258" s="2" t="s">
        <v>133</v>
      </c>
      <c r="I258" s="2" t="s">
        <v>1055</v>
      </c>
      <c r="J258" s="2" t="s">
        <v>1055</v>
      </c>
      <c r="K258" s="2" t="s">
        <v>1558</v>
      </c>
      <c r="L258" s="2" t="s">
        <v>1568</v>
      </c>
      <c r="M258" s="5" t="s">
        <v>1573</v>
      </c>
      <c r="N258" s="8" t="s">
        <v>1578</v>
      </c>
      <c r="O258" s="2">
        <f ca="1">DATEDIF(Addmisson[[#This Row],[Student_DOB]],TODAY(),"y")</f>
        <v>21</v>
      </c>
      <c r="P258" s="2" t="str">
        <f>TEXT(Addmisson[[#This Row],[Admission_Date]],"mmmm")</f>
        <v>September</v>
      </c>
      <c r="Q258" s="2">
        <f>YEAR(Addmisson[[#This Row],[Admission_Date]])</f>
        <v>2025</v>
      </c>
    </row>
    <row r="259" spans="1:17" x14ac:dyDescent="0.25">
      <c r="A259" s="7" t="s">
        <v>356</v>
      </c>
      <c r="B259" s="3">
        <v>45929</v>
      </c>
      <c r="C259" s="2" t="s">
        <v>805</v>
      </c>
      <c r="D259" s="2" t="s">
        <v>1317</v>
      </c>
      <c r="E259" s="3">
        <v>38317</v>
      </c>
      <c r="F259" s="2" t="s">
        <v>138</v>
      </c>
      <c r="G259" s="2" t="s">
        <v>138</v>
      </c>
      <c r="H259" s="2" t="s">
        <v>138</v>
      </c>
      <c r="I259" s="2" t="s">
        <v>16</v>
      </c>
      <c r="J259" s="2" t="s">
        <v>1056</v>
      </c>
      <c r="K259" s="2" t="s">
        <v>1559</v>
      </c>
      <c r="L259" s="2" t="s">
        <v>1567</v>
      </c>
      <c r="M259" s="5" t="s">
        <v>1574</v>
      </c>
      <c r="N259" s="8" t="s">
        <v>1578</v>
      </c>
      <c r="O259" s="2">
        <f ca="1">DATEDIF(Addmisson[[#This Row],[Student_DOB]],TODAY(),"y")</f>
        <v>21</v>
      </c>
      <c r="P259" s="2" t="str">
        <f>TEXT(Addmisson[[#This Row],[Admission_Date]],"mmmm")</f>
        <v>September</v>
      </c>
      <c r="Q259" s="2">
        <f>YEAR(Addmisson[[#This Row],[Admission_Date]])</f>
        <v>2025</v>
      </c>
    </row>
    <row r="260" spans="1:17" x14ac:dyDescent="0.25">
      <c r="A260" s="7" t="s">
        <v>357</v>
      </c>
      <c r="B260" s="3">
        <v>45930</v>
      </c>
      <c r="C260" s="2" t="s">
        <v>806</v>
      </c>
      <c r="D260" s="2" t="s">
        <v>1318</v>
      </c>
      <c r="E260" s="3">
        <v>38544</v>
      </c>
      <c r="F260" s="2" t="s">
        <v>127</v>
      </c>
      <c r="G260" s="2" t="s">
        <v>127</v>
      </c>
      <c r="H260" s="2" t="s">
        <v>141</v>
      </c>
      <c r="I260" s="2" t="s">
        <v>1057</v>
      </c>
      <c r="J260" s="2" t="s">
        <v>1058</v>
      </c>
      <c r="K260" s="2" t="s">
        <v>1560</v>
      </c>
      <c r="L260" s="2" t="s">
        <v>1568</v>
      </c>
      <c r="M260" s="5" t="s">
        <v>1576</v>
      </c>
      <c r="N260" s="8" t="s">
        <v>1578</v>
      </c>
      <c r="O260" s="2">
        <f ca="1">DATEDIF(Addmisson[[#This Row],[Student_DOB]],TODAY(),"y")</f>
        <v>21</v>
      </c>
      <c r="P260" s="2" t="str">
        <f>TEXT(Addmisson[[#This Row],[Admission_Date]],"mmmm")</f>
        <v>September</v>
      </c>
      <c r="Q260" s="2">
        <f>YEAR(Addmisson[[#This Row],[Admission_Date]])</f>
        <v>2025</v>
      </c>
    </row>
    <row r="261" spans="1:17" x14ac:dyDescent="0.25">
      <c r="A261" s="7" t="s">
        <v>358</v>
      </c>
      <c r="B261" s="3">
        <v>45931</v>
      </c>
      <c r="C261" s="2" t="s">
        <v>807</v>
      </c>
      <c r="D261" s="2" t="s">
        <v>1319</v>
      </c>
      <c r="E261" s="3">
        <v>39122</v>
      </c>
      <c r="F261" s="2" t="s">
        <v>138</v>
      </c>
      <c r="G261" s="2" t="s">
        <v>138</v>
      </c>
      <c r="H261" s="2" t="s">
        <v>138</v>
      </c>
      <c r="I261" s="2" t="s">
        <v>1059</v>
      </c>
      <c r="J261" s="2" t="s">
        <v>1059</v>
      </c>
      <c r="K261" s="2" t="s">
        <v>1561</v>
      </c>
      <c r="L261" s="2" t="s">
        <v>1568</v>
      </c>
      <c r="M261" s="5" t="s">
        <v>1577</v>
      </c>
      <c r="N261" s="8" t="s">
        <v>1578</v>
      </c>
      <c r="O261" s="2">
        <f ca="1">DATEDIF(Addmisson[[#This Row],[Student_DOB]],TODAY(),"y")</f>
        <v>19</v>
      </c>
      <c r="P261" s="2" t="str">
        <f>TEXT(Addmisson[[#This Row],[Admission_Date]],"mmmm")</f>
        <v>October</v>
      </c>
      <c r="Q261" s="2">
        <f>YEAR(Addmisson[[#This Row],[Admission_Date]])</f>
        <v>2025</v>
      </c>
    </row>
    <row r="262" spans="1:17" x14ac:dyDescent="0.25">
      <c r="A262" s="7" t="s">
        <v>359</v>
      </c>
      <c r="B262" s="3">
        <v>45932</v>
      </c>
      <c r="C262" s="2" t="s">
        <v>808</v>
      </c>
      <c r="D262" s="2" t="s">
        <v>1320</v>
      </c>
      <c r="E262" s="3">
        <v>38617</v>
      </c>
      <c r="F262" s="2" t="s">
        <v>127</v>
      </c>
      <c r="G262" s="2" t="s">
        <v>127</v>
      </c>
      <c r="H262" s="2" t="s">
        <v>141</v>
      </c>
      <c r="I262" s="2" t="s">
        <v>1060</v>
      </c>
      <c r="J262" s="2" t="s">
        <v>21</v>
      </c>
      <c r="K262" s="2" t="s">
        <v>1562</v>
      </c>
      <c r="L262" s="2" t="s">
        <v>1567</v>
      </c>
      <c r="M262" s="5" t="s">
        <v>1570</v>
      </c>
      <c r="N262" s="8" t="s">
        <v>1578</v>
      </c>
      <c r="O262" s="2">
        <f ca="1">DATEDIF(Addmisson[[#This Row],[Student_DOB]],TODAY(),"y")</f>
        <v>21</v>
      </c>
      <c r="P262" s="2" t="str">
        <f>TEXT(Addmisson[[#This Row],[Admission_Date]],"mmmm")</f>
        <v>October</v>
      </c>
      <c r="Q262" s="2">
        <f>YEAR(Addmisson[[#This Row],[Admission_Date]])</f>
        <v>2025</v>
      </c>
    </row>
    <row r="263" spans="1:17" x14ac:dyDescent="0.25">
      <c r="A263" s="7" t="s">
        <v>360</v>
      </c>
      <c r="B263" s="3">
        <v>45933</v>
      </c>
      <c r="C263" s="2" t="s">
        <v>809</v>
      </c>
      <c r="D263" s="2" t="s">
        <v>1321</v>
      </c>
      <c r="E263" s="3">
        <v>38137</v>
      </c>
      <c r="F263" s="2" t="s">
        <v>129</v>
      </c>
      <c r="G263" s="2" t="s">
        <v>129</v>
      </c>
      <c r="H263" s="2" t="s">
        <v>143</v>
      </c>
      <c r="I263" s="2" t="s">
        <v>1047</v>
      </c>
      <c r="J263" s="2" t="s">
        <v>1048</v>
      </c>
      <c r="K263" s="2" t="s">
        <v>1563</v>
      </c>
      <c r="L263" s="2" t="s">
        <v>1567</v>
      </c>
      <c r="M263" s="5" t="s">
        <v>1575</v>
      </c>
      <c r="N263" s="8" t="s">
        <v>1578</v>
      </c>
      <c r="O263" s="2">
        <f ca="1">DATEDIF(Addmisson[[#This Row],[Student_DOB]],TODAY(),"y")</f>
        <v>22</v>
      </c>
      <c r="P263" s="2" t="str">
        <f>TEXT(Addmisson[[#This Row],[Admission_Date]],"mmmm")</f>
        <v>October</v>
      </c>
      <c r="Q263" s="2">
        <f>YEAR(Addmisson[[#This Row],[Admission_Date]])</f>
        <v>2025</v>
      </c>
    </row>
    <row r="264" spans="1:17" x14ac:dyDescent="0.25">
      <c r="A264" s="7" t="s">
        <v>361</v>
      </c>
      <c r="B264" s="3">
        <v>45934</v>
      </c>
      <c r="C264" s="2" t="s">
        <v>810</v>
      </c>
      <c r="D264" s="2" t="s">
        <v>1322</v>
      </c>
      <c r="E264" s="3">
        <v>38370</v>
      </c>
      <c r="F264" s="2" t="s">
        <v>14</v>
      </c>
      <c r="G264" s="2" t="s">
        <v>14</v>
      </c>
      <c r="H264" s="2" t="s">
        <v>15</v>
      </c>
      <c r="I264" s="2" t="s">
        <v>1049</v>
      </c>
      <c r="J264" s="2" t="s">
        <v>1050</v>
      </c>
      <c r="K264" s="2" t="s">
        <v>1564</v>
      </c>
      <c r="L264" s="2" t="s">
        <v>1568</v>
      </c>
      <c r="M264" s="5" t="s">
        <v>1571</v>
      </c>
      <c r="N264" s="8" t="s">
        <v>1578</v>
      </c>
      <c r="O264" s="2">
        <f ca="1">DATEDIF(Addmisson[[#This Row],[Student_DOB]],TODAY(),"y")</f>
        <v>21</v>
      </c>
      <c r="P264" s="2" t="str">
        <f>TEXT(Addmisson[[#This Row],[Admission_Date]],"mmmm")</f>
        <v>October</v>
      </c>
      <c r="Q264" s="2">
        <f>YEAR(Addmisson[[#This Row],[Admission_Date]])</f>
        <v>2025</v>
      </c>
    </row>
    <row r="265" spans="1:17" x14ac:dyDescent="0.25">
      <c r="A265" s="7" t="s">
        <v>362</v>
      </c>
      <c r="B265" s="3">
        <v>45935</v>
      </c>
      <c r="C265" s="2" t="s">
        <v>811</v>
      </c>
      <c r="D265" s="2" t="s">
        <v>1323</v>
      </c>
      <c r="E265" s="3">
        <v>38203</v>
      </c>
      <c r="F265" s="2" t="s">
        <v>145</v>
      </c>
      <c r="G265" s="2" t="s">
        <v>145</v>
      </c>
      <c r="H265" s="2" t="s">
        <v>145</v>
      </c>
      <c r="I265" s="2" t="s">
        <v>1051</v>
      </c>
      <c r="J265" s="2" t="s">
        <v>1052</v>
      </c>
      <c r="K265" s="2" t="s">
        <v>1565</v>
      </c>
      <c r="L265" s="2" t="s">
        <v>1567</v>
      </c>
      <c r="M265" s="5" t="s">
        <v>1572</v>
      </c>
      <c r="N265" s="8" t="s">
        <v>1578</v>
      </c>
      <c r="O265" s="2">
        <f ca="1">DATEDIF(Addmisson[[#This Row],[Student_DOB]],TODAY(),"y")</f>
        <v>22</v>
      </c>
      <c r="P265" s="2" t="str">
        <f>TEXT(Addmisson[[#This Row],[Admission_Date]],"mmmm")</f>
        <v>October</v>
      </c>
      <c r="Q265" s="2">
        <f>YEAR(Addmisson[[#This Row],[Admission_Date]])</f>
        <v>2025</v>
      </c>
    </row>
    <row r="266" spans="1:17" x14ac:dyDescent="0.25">
      <c r="A266" s="7" t="s">
        <v>363</v>
      </c>
      <c r="B266" s="3">
        <v>45936</v>
      </c>
      <c r="C266" s="2" t="s">
        <v>812</v>
      </c>
      <c r="D266" s="2" t="s">
        <v>1324</v>
      </c>
      <c r="E266" s="3">
        <v>38681</v>
      </c>
      <c r="F266" s="2" t="s">
        <v>127</v>
      </c>
      <c r="G266" s="2" t="s">
        <v>127</v>
      </c>
      <c r="H266" s="2" t="s">
        <v>144</v>
      </c>
      <c r="I266" s="2" t="s">
        <v>1053</v>
      </c>
      <c r="J266" s="2" t="s">
        <v>1052</v>
      </c>
      <c r="K266" s="2" t="s">
        <v>1558</v>
      </c>
      <c r="L266" s="2" t="s">
        <v>1567</v>
      </c>
      <c r="M266" s="5" t="s">
        <v>1573</v>
      </c>
      <c r="N266" s="8" t="s">
        <v>1578</v>
      </c>
      <c r="O266" s="2">
        <f ca="1">DATEDIF(Addmisson[[#This Row],[Student_DOB]],TODAY(),"y")</f>
        <v>20</v>
      </c>
      <c r="P266" s="2" t="str">
        <f>TEXT(Addmisson[[#This Row],[Admission_Date]],"mmmm")</f>
        <v>October</v>
      </c>
      <c r="Q266" s="2">
        <f>YEAR(Addmisson[[#This Row],[Admission_Date]])</f>
        <v>2025</v>
      </c>
    </row>
    <row r="267" spans="1:17" x14ac:dyDescent="0.25">
      <c r="A267" s="7" t="s">
        <v>364</v>
      </c>
      <c r="B267" s="3">
        <v>45937</v>
      </c>
      <c r="C267" s="2" t="s">
        <v>813</v>
      </c>
      <c r="D267" s="2" t="s">
        <v>1325</v>
      </c>
      <c r="E267" s="3">
        <v>38058</v>
      </c>
      <c r="F267" s="2" t="s">
        <v>129</v>
      </c>
      <c r="G267" s="2" t="s">
        <v>129</v>
      </c>
      <c r="H267" s="2" t="s">
        <v>147</v>
      </c>
      <c r="I267" s="2" t="s">
        <v>1054</v>
      </c>
      <c r="J267" s="2" t="s">
        <v>1052</v>
      </c>
      <c r="K267" s="2" t="s">
        <v>1559</v>
      </c>
      <c r="L267" s="2" t="s">
        <v>1568</v>
      </c>
      <c r="M267" s="5" t="s">
        <v>1574</v>
      </c>
      <c r="N267" s="8" t="s">
        <v>1578</v>
      </c>
      <c r="O267" s="2">
        <f ca="1">DATEDIF(Addmisson[[#This Row],[Student_DOB]],TODAY(),"y")</f>
        <v>22</v>
      </c>
      <c r="P267" s="2" t="str">
        <f>TEXT(Addmisson[[#This Row],[Admission_Date]],"mmmm")</f>
        <v>October</v>
      </c>
      <c r="Q267" s="2">
        <f>YEAR(Addmisson[[#This Row],[Admission_Date]])</f>
        <v>2025</v>
      </c>
    </row>
    <row r="268" spans="1:17" x14ac:dyDescent="0.25">
      <c r="A268" s="7" t="s">
        <v>365</v>
      </c>
      <c r="B268" s="3">
        <v>45938</v>
      </c>
      <c r="C268" s="2" t="s">
        <v>814</v>
      </c>
      <c r="D268" s="2" t="s">
        <v>1326</v>
      </c>
      <c r="E268" s="3">
        <v>38509</v>
      </c>
      <c r="F268" s="2" t="s">
        <v>27</v>
      </c>
      <c r="G268" s="2" t="s">
        <v>27</v>
      </c>
      <c r="H268" s="2" t="s">
        <v>131</v>
      </c>
      <c r="I268" s="2" t="s">
        <v>1055</v>
      </c>
      <c r="J268" s="2" t="s">
        <v>1055</v>
      </c>
      <c r="K268" s="2" t="s">
        <v>1560</v>
      </c>
      <c r="L268" s="2" t="s">
        <v>1567</v>
      </c>
      <c r="M268" s="5" t="s">
        <v>1576</v>
      </c>
      <c r="N268" s="8" t="s">
        <v>1578</v>
      </c>
      <c r="O268" s="2">
        <f ca="1">DATEDIF(Addmisson[[#This Row],[Student_DOB]],TODAY(),"y")</f>
        <v>21</v>
      </c>
      <c r="P268" s="2" t="str">
        <f>TEXT(Addmisson[[#This Row],[Admission_Date]],"mmmm")</f>
        <v>October</v>
      </c>
      <c r="Q268" s="2">
        <f>YEAR(Addmisson[[#This Row],[Admission_Date]])</f>
        <v>2025</v>
      </c>
    </row>
    <row r="269" spans="1:17" x14ac:dyDescent="0.25">
      <c r="A269" s="7" t="s">
        <v>366</v>
      </c>
      <c r="B269" s="3">
        <v>45939</v>
      </c>
      <c r="C269" s="2" t="s">
        <v>815</v>
      </c>
      <c r="D269" s="2" t="s">
        <v>1327</v>
      </c>
      <c r="E269" s="3">
        <v>40109</v>
      </c>
      <c r="F269" s="2" t="s">
        <v>127</v>
      </c>
      <c r="G269" s="2" t="s">
        <v>127</v>
      </c>
      <c r="H269" s="2" t="s">
        <v>146</v>
      </c>
      <c r="I269" s="2" t="s">
        <v>16</v>
      </c>
      <c r="J269" s="2" t="s">
        <v>1056</v>
      </c>
      <c r="K269" s="2" t="s">
        <v>1561</v>
      </c>
      <c r="L269" s="2" t="s">
        <v>1568</v>
      </c>
      <c r="M269" s="5" t="s">
        <v>1577</v>
      </c>
      <c r="N269" s="8" t="s">
        <v>1578</v>
      </c>
      <c r="O269" s="2">
        <f ca="1">DATEDIF(Addmisson[[#This Row],[Student_DOB]],TODAY(),"y")</f>
        <v>16</v>
      </c>
      <c r="P269" s="2" t="str">
        <f>TEXT(Addmisson[[#This Row],[Admission_Date]],"mmmm")</f>
        <v>October</v>
      </c>
      <c r="Q269" s="2">
        <f>YEAR(Addmisson[[#This Row],[Admission_Date]])</f>
        <v>2025</v>
      </c>
    </row>
    <row r="270" spans="1:17" x14ac:dyDescent="0.25">
      <c r="A270" s="7" t="s">
        <v>367</v>
      </c>
      <c r="B270" s="3">
        <v>45940</v>
      </c>
      <c r="C270" s="2" t="s">
        <v>816</v>
      </c>
      <c r="D270" s="2" t="s">
        <v>1328</v>
      </c>
      <c r="E270" s="3">
        <v>38398</v>
      </c>
      <c r="F270" s="2" t="s">
        <v>142</v>
      </c>
      <c r="G270" s="2" t="s">
        <v>142</v>
      </c>
      <c r="H270" s="2" t="s">
        <v>142</v>
      </c>
      <c r="I270" s="2" t="s">
        <v>1057</v>
      </c>
      <c r="J270" s="2" t="s">
        <v>1058</v>
      </c>
      <c r="K270" s="2" t="s">
        <v>1562</v>
      </c>
      <c r="L270" s="2" t="s">
        <v>1568</v>
      </c>
      <c r="M270" s="5" t="s">
        <v>1570</v>
      </c>
      <c r="N270" s="8" t="s">
        <v>1578</v>
      </c>
      <c r="O270" s="2">
        <f ca="1">DATEDIF(Addmisson[[#This Row],[Student_DOB]],TODAY(),"y")</f>
        <v>21</v>
      </c>
      <c r="P270" s="2" t="str">
        <f>TEXT(Addmisson[[#This Row],[Admission_Date]],"mmmm")</f>
        <v>October</v>
      </c>
      <c r="Q270" s="2">
        <f>YEAR(Addmisson[[#This Row],[Admission_Date]])</f>
        <v>2025</v>
      </c>
    </row>
    <row r="271" spans="1:17" x14ac:dyDescent="0.25">
      <c r="A271" s="7" t="s">
        <v>368</v>
      </c>
      <c r="B271" s="3">
        <v>45941</v>
      </c>
      <c r="C271" s="2" t="s">
        <v>817</v>
      </c>
      <c r="D271" s="2" t="s">
        <v>1329</v>
      </c>
      <c r="E271" s="3">
        <v>38169</v>
      </c>
      <c r="F271" s="2" t="s">
        <v>129</v>
      </c>
      <c r="G271" s="2" t="s">
        <v>129</v>
      </c>
      <c r="H271" s="2" t="s">
        <v>130</v>
      </c>
      <c r="I271" s="2" t="s">
        <v>1059</v>
      </c>
      <c r="J271" s="2" t="s">
        <v>1059</v>
      </c>
      <c r="K271" s="2" t="s">
        <v>1563</v>
      </c>
      <c r="L271" s="2" t="s">
        <v>1567</v>
      </c>
      <c r="M271" s="5" t="s">
        <v>1575</v>
      </c>
      <c r="N271" s="8" t="s">
        <v>1578</v>
      </c>
      <c r="O271" s="2">
        <f ca="1">DATEDIF(Addmisson[[#This Row],[Student_DOB]],TODAY(),"y")</f>
        <v>22</v>
      </c>
      <c r="P271" s="2" t="str">
        <f>TEXT(Addmisson[[#This Row],[Admission_Date]],"mmmm")</f>
        <v>October</v>
      </c>
      <c r="Q271" s="2">
        <f>YEAR(Addmisson[[#This Row],[Admission_Date]])</f>
        <v>2025</v>
      </c>
    </row>
    <row r="272" spans="1:17" x14ac:dyDescent="0.25">
      <c r="A272" s="7" t="s">
        <v>369</v>
      </c>
      <c r="B272" s="3">
        <v>45942</v>
      </c>
      <c r="C272" s="2" t="s">
        <v>818</v>
      </c>
      <c r="D272" s="2" t="s">
        <v>1330</v>
      </c>
      <c r="E272" s="3">
        <v>38958</v>
      </c>
      <c r="F272" s="2" t="s">
        <v>127</v>
      </c>
      <c r="G272" s="2" t="s">
        <v>127</v>
      </c>
      <c r="H272" s="2" t="s">
        <v>128</v>
      </c>
      <c r="I272" s="2" t="s">
        <v>1060</v>
      </c>
      <c r="J272" s="2" t="s">
        <v>21</v>
      </c>
      <c r="K272" s="2" t="s">
        <v>1564</v>
      </c>
      <c r="L272" s="2" t="s">
        <v>1567</v>
      </c>
      <c r="M272" s="5" t="s">
        <v>1571</v>
      </c>
      <c r="N272" s="8" t="s">
        <v>1578</v>
      </c>
      <c r="O272" s="2">
        <f ca="1">DATEDIF(Addmisson[[#This Row],[Student_DOB]],TODAY(),"y")</f>
        <v>20</v>
      </c>
      <c r="P272" s="2" t="str">
        <f>TEXT(Addmisson[[#This Row],[Admission_Date]],"mmmm")</f>
        <v>October</v>
      </c>
      <c r="Q272" s="2">
        <f>YEAR(Addmisson[[#This Row],[Admission_Date]])</f>
        <v>2025</v>
      </c>
    </row>
    <row r="273" spans="1:17" x14ac:dyDescent="0.25">
      <c r="A273" s="7" t="s">
        <v>370</v>
      </c>
      <c r="B273" s="3">
        <v>45943</v>
      </c>
      <c r="C273" s="2" t="s">
        <v>819</v>
      </c>
      <c r="D273" s="2" t="s">
        <v>1331</v>
      </c>
      <c r="E273" s="3">
        <v>38084</v>
      </c>
      <c r="F273" s="2" t="s">
        <v>148</v>
      </c>
      <c r="G273" s="2" t="s">
        <v>148</v>
      </c>
      <c r="H273" s="2" t="s">
        <v>148</v>
      </c>
      <c r="I273" s="2" t="s">
        <v>1047</v>
      </c>
      <c r="J273" s="2" t="s">
        <v>1048</v>
      </c>
      <c r="K273" s="2" t="s">
        <v>1565</v>
      </c>
      <c r="L273" s="2" t="s">
        <v>1568</v>
      </c>
      <c r="M273" s="5" t="s">
        <v>1572</v>
      </c>
      <c r="N273" s="8" t="s">
        <v>1578</v>
      </c>
      <c r="O273" s="2">
        <f ca="1">DATEDIF(Addmisson[[#This Row],[Student_DOB]],TODAY(),"y")</f>
        <v>22</v>
      </c>
      <c r="P273" s="2" t="str">
        <f>TEXT(Addmisson[[#This Row],[Admission_Date]],"mmmm")</f>
        <v>October</v>
      </c>
      <c r="Q273" s="2">
        <f>YEAR(Addmisson[[#This Row],[Admission_Date]])</f>
        <v>2025</v>
      </c>
    </row>
    <row r="274" spans="1:17" x14ac:dyDescent="0.25">
      <c r="A274" s="7" t="s">
        <v>371</v>
      </c>
      <c r="B274" s="3">
        <v>45944</v>
      </c>
      <c r="C274" s="2" t="s">
        <v>820</v>
      </c>
      <c r="D274" s="2" t="s">
        <v>1332</v>
      </c>
      <c r="E274" s="3">
        <v>39432</v>
      </c>
      <c r="F274" s="2" t="s">
        <v>14</v>
      </c>
      <c r="G274" s="2" t="s">
        <v>14</v>
      </c>
      <c r="H274" s="2" t="s">
        <v>132</v>
      </c>
      <c r="I274" s="2" t="s">
        <v>1049</v>
      </c>
      <c r="J274" s="2" t="s">
        <v>1050</v>
      </c>
      <c r="K274" s="2" t="s">
        <v>1558</v>
      </c>
      <c r="L274" s="2" t="s">
        <v>1567</v>
      </c>
      <c r="M274" s="5" t="s">
        <v>1573</v>
      </c>
      <c r="N274" s="8" t="s">
        <v>1578</v>
      </c>
      <c r="O274" s="2">
        <f ca="1">DATEDIF(Addmisson[[#This Row],[Student_DOB]],TODAY(),"y")</f>
        <v>18</v>
      </c>
      <c r="P274" s="2" t="str">
        <f>TEXT(Addmisson[[#This Row],[Admission_Date]],"mmmm")</f>
        <v>October</v>
      </c>
      <c r="Q274" s="2">
        <f>YEAR(Addmisson[[#This Row],[Admission_Date]])</f>
        <v>2025</v>
      </c>
    </row>
    <row r="275" spans="1:17" x14ac:dyDescent="0.25">
      <c r="A275" s="7" t="s">
        <v>372</v>
      </c>
      <c r="B275" s="3">
        <v>45945</v>
      </c>
      <c r="C275" s="2" t="s">
        <v>821</v>
      </c>
      <c r="D275" s="2" t="s">
        <v>1333</v>
      </c>
      <c r="E275" s="3">
        <v>39103</v>
      </c>
      <c r="F275" s="2" t="s">
        <v>127</v>
      </c>
      <c r="G275" s="2" t="s">
        <v>127</v>
      </c>
      <c r="H275" s="2" t="s">
        <v>133</v>
      </c>
      <c r="I275" s="2" t="s">
        <v>1051</v>
      </c>
      <c r="J275" s="2" t="s">
        <v>1052</v>
      </c>
      <c r="K275" s="2" t="s">
        <v>1559</v>
      </c>
      <c r="L275" s="2" t="s">
        <v>1567</v>
      </c>
      <c r="M275" s="5" t="s">
        <v>1570</v>
      </c>
      <c r="N275" s="8" t="s">
        <v>1578</v>
      </c>
      <c r="O275" s="2">
        <f ca="1">DATEDIF(Addmisson[[#This Row],[Student_DOB]],TODAY(),"y")</f>
        <v>19</v>
      </c>
      <c r="P275" s="2" t="str">
        <f>TEXT(Addmisson[[#This Row],[Admission_Date]],"mmmm")</f>
        <v>October</v>
      </c>
      <c r="Q275" s="2">
        <f>YEAR(Addmisson[[#This Row],[Admission_Date]])</f>
        <v>2025</v>
      </c>
    </row>
    <row r="276" spans="1:17" x14ac:dyDescent="0.25">
      <c r="A276" s="7" t="s">
        <v>373</v>
      </c>
      <c r="B276" s="3">
        <v>45946</v>
      </c>
      <c r="C276" s="2" t="s">
        <v>822</v>
      </c>
      <c r="D276" s="2" t="s">
        <v>1334</v>
      </c>
      <c r="E276" s="3">
        <v>39578</v>
      </c>
      <c r="F276" s="2" t="s">
        <v>138</v>
      </c>
      <c r="G276" s="2" t="s">
        <v>138</v>
      </c>
      <c r="H276" s="2" t="s">
        <v>138</v>
      </c>
      <c r="I276" s="2" t="s">
        <v>1053</v>
      </c>
      <c r="J276" s="2" t="s">
        <v>1052</v>
      </c>
      <c r="K276" s="2" t="s">
        <v>1560</v>
      </c>
      <c r="L276" s="2" t="s">
        <v>1568</v>
      </c>
      <c r="M276" s="5" t="s">
        <v>1575</v>
      </c>
      <c r="N276" s="8" t="s">
        <v>1578</v>
      </c>
      <c r="O276" s="2">
        <f ca="1">DATEDIF(Addmisson[[#This Row],[Student_DOB]],TODAY(),"y")</f>
        <v>18</v>
      </c>
      <c r="P276" s="2" t="str">
        <f>TEXT(Addmisson[[#This Row],[Admission_Date]],"mmmm")</f>
        <v>October</v>
      </c>
      <c r="Q276" s="2">
        <f>YEAR(Addmisson[[#This Row],[Admission_Date]])</f>
        <v>2025</v>
      </c>
    </row>
    <row r="277" spans="1:17" x14ac:dyDescent="0.25">
      <c r="A277" s="7" t="s">
        <v>374</v>
      </c>
      <c r="B277" s="3">
        <v>45947</v>
      </c>
      <c r="C277" s="2" t="s">
        <v>823</v>
      </c>
      <c r="D277" s="2" t="s">
        <v>1335</v>
      </c>
      <c r="E277" s="3">
        <v>38243</v>
      </c>
      <c r="F277" s="2" t="s">
        <v>127</v>
      </c>
      <c r="G277" s="2" t="s">
        <v>127</v>
      </c>
      <c r="H277" s="2" t="s">
        <v>141</v>
      </c>
      <c r="I277" s="2" t="s">
        <v>1054</v>
      </c>
      <c r="J277" s="2" t="s">
        <v>1052</v>
      </c>
      <c r="K277" s="2" t="s">
        <v>1561</v>
      </c>
      <c r="L277" s="2" t="s">
        <v>1567</v>
      </c>
      <c r="M277" s="5" t="s">
        <v>1571</v>
      </c>
      <c r="N277" s="8" t="s">
        <v>1578</v>
      </c>
      <c r="O277" s="2">
        <f ca="1">DATEDIF(Addmisson[[#This Row],[Student_DOB]],TODAY(),"y")</f>
        <v>22</v>
      </c>
      <c r="P277" s="2" t="str">
        <f>TEXT(Addmisson[[#This Row],[Admission_Date]],"mmmm")</f>
        <v>October</v>
      </c>
      <c r="Q277" s="2">
        <f>YEAR(Addmisson[[#This Row],[Admission_Date]])</f>
        <v>2025</v>
      </c>
    </row>
    <row r="278" spans="1:17" x14ac:dyDescent="0.25">
      <c r="A278" s="7" t="s">
        <v>375</v>
      </c>
      <c r="B278" s="3">
        <v>45948</v>
      </c>
      <c r="C278" s="2" t="s">
        <v>824</v>
      </c>
      <c r="D278" s="2" t="s">
        <v>1336</v>
      </c>
      <c r="E278" s="3">
        <v>38438</v>
      </c>
      <c r="F278" s="2" t="s">
        <v>129</v>
      </c>
      <c r="G278" s="2" t="s">
        <v>129</v>
      </c>
      <c r="H278" s="2" t="s">
        <v>143</v>
      </c>
      <c r="I278" s="2" t="s">
        <v>1055</v>
      </c>
      <c r="J278" s="2" t="s">
        <v>1055</v>
      </c>
      <c r="K278" s="2" t="s">
        <v>1562</v>
      </c>
      <c r="L278" s="2" t="s">
        <v>1567</v>
      </c>
      <c r="M278" s="5" t="s">
        <v>1572</v>
      </c>
      <c r="N278" s="8" t="s">
        <v>1578</v>
      </c>
      <c r="O278" s="2">
        <f ca="1">DATEDIF(Addmisson[[#This Row],[Student_DOB]],TODAY(),"y")</f>
        <v>21</v>
      </c>
      <c r="P278" s="2" t="str">
        <f>TEXT(Addmisson[[#This Row],[Admission_Date]],"mmmm")</f>
        <v>October</v>
      </c>
      <c r="Q278" s="2">
        <f>YEAR(Addmisson[[#This Row],[Admission_Date]])</f>
        <v>2025</v>
      </c>
    </row>
    <row r="279" spans="1:17" x14ac:dyDescent="0.25">
      <c r="A279" s="7" t="s">
        <v>376</v>
      </c>
      <c r="B279" s="3">
        <v>45949</v>
      </c>
      <c r="C279" s="2" t="s">
        <v>825</v>
      </c>
      <c r="D279" s="2" t="s">
        <v>1337</v>
      </c>
      <c r="E279" s="3">
        <v>38293</v>
      </c>
      <c r="F279" s="2" t="s">
        <v>14</v>
      </c>
      <c r="G279" s="2" t="s">
        <v>14</v>
      </c>
      <c r="H279" s="2" t="s">
        <v>15</v>
      </c>
      <c r="I279" s="2" t="s">
        <v>16</v>
      </c>
      <c r="J279" s="2" t="s">
        <v>1056</v>
      </c>
      <c r="K279" s="2" t="s">
        <v>1563</v>
      </c>
      <c r="L279" s="2" t="s">
        <v>1568</v>
      </c>
      <c r="M279" s="5" t="s">
        <v>1573</v>
      </c>
      <c r="N279" s="8" t="s">
        <v>1578</v>
      </c>
      <c r="O279" s="2">
        <f ca="1">DATEDIF(Addmisson[[#This Row],[Student_DOB]],TODAY(),"y")</f>
        <v>21</v>
      </c>
      <c r="P279" s="2" t="str">
        <f>TEXT(Addmisson[[#This Row],[Admission_Date]],"mmmm")</f>
        <v>October</v>
      </c>
      <c r="Q279" s="2">
        <f>YEAR(Addmisson[[#This Row],[Admission_Date]])</f>
        <v>2025</v>
      </c>
    </row>
    <row r="280" spans="1:17" x14ac:dyDescent="0.25">
      <c r="A280" s="7" t="s">
        <v>377</v>
      </c>
      <c r="B280" s="3">
        <v>45950</v>
      </c>
      <c r="C280" s="2" t="s">
        <v>826</v>
      </c>
      <c r="D280" s="2" t="s">
        <v>1338</v>
      </c>
      <c r="E280" s="3">
        <v>38552</v>
      </c>
      <c r="F280" s="2" t="s">
        <v>145</v>
      </c>
      <c r="G280" s="2" t="s">
        <v>145</v>
      </c>
      <c r="H280" s="2" t="s">
        <v>145</v>
      </c>
      <c r="I280" s="2" t="s">
        <v>1057</v>
      </c>
      <c r="J280" s="2" t="s">
        <v>1058</v>
      </c>
      <c r="K280" s="2" t="s">
        <v>1564</v>
      </c>
      <c r="L280" s="2" t="s">
        <v>1568</v>
      </c>
      <c r="M280" s="5" t="s">
        <v>1574</v>
      </c>
      <c r="N280" s="8" t="s">
        <v>1578</v>
      </c>
      <c r="O280" s="2">
        <f ca="1">DATEDIF(Addmisson[[#This Row],[Student_DOB]],TODAY(),"y")</f>
        <v>21</v>
      </c>
      <c r="P280" s="2" t="str">
        <f>TEXT(Addmisson[[#This Row],[Admission_Date]],"mmmm")</f>
        <v>October</v>
      </c>
      <c r="Q280" s="2">
        <f>YEAR(Addmisson[[#This Row],[Admission_Date]])</f>
        <v>2025</v>
      </c>
    </row>
    <row r="281" spans="1:17" x14ac:dyDescent="0.25">
      <c r="A281" s="7" t="s">
        <v>378</v>
      </c>
      <c r="B281" s="3">
        <v>45951</v>
      </c>
      <c r="C281" s="2" t="s">
        <v>827</v>
      </c>
      <c r="D281" s="2" t="s">
        <v>1339</v>
      </c>
      <c r="E281" s="3">
        <v>38101</v>
      </c>
      <c r="F281" s="2" t="s">
        <v>127</v>
      </c>
      <c r="G281" s="2" t="s">
        <v>127</v>
      </c>
      <c r="H281" s="2" t="s">
        <v>144</v>
      </c>
      <c r="I281" s="2" t="s">
        <v>1059</v>
      </c>
      <c r="J281" s="2" t="s">
        <v>1059</v>
      </c>
      <c r="K281" s="2" t="s">
        <v>1565</v>
      </c>
      <c r="L281" s="2" t="s">
        <v>1568</v>
      </c>
      <c r="M281" s="5" t="s">
        <v>1576</v>
      </c>
      <c r="N281" s="8" t="s">
        <v>1578</v>
      </c>
      <c r="O281" s="2">
        <f ca="1">DATEDIF(Addmisson[[#This Row],[Student_DOB]],TODAY(),"y")</f>
        <v>22</v>
      </c>
      <c r="P281" s="2" t="str">
        <f>TEXT(Addmisson[[#This Row],[Admission_Date]],"mmmm")</f>
        <v>October</v>
      </c>
      <c r="Q281" s="2">
        <f>YEAR(Addmisson[[#This Row],[Admission_Date]])</f>
        <v>2025</v>
      </c>
    </row>
    <row r="282" spans="1:17" x14ac:dyDescent="0.25">
      <c r="A282" s="7" t="s">
        <v>379</v>
      </c>
      <c r="B282" s="3">
        <v>45952</v>
      </c>
      <c r="C282" s="2" t="s">
        <v>828</v>
      </c>
      <c r="D282" s="2" t="s">
        <v>1340</v>
      </c>
      <c r="E282" s="3">
        <v>40094</v>
      </c>
      <c r="F282" s="2" t="s">
        <v>129</v>
      </c>
      <c r="G282" s="2" t="s">
        <v>129</v>
      </c>
      <c r="H282" s="2" t="s">
        <v>147</v>
      </c>
      <c r="I282" s="2" t="s">
        <v>1060</v>
      </c>
      <c r="J282" s="2" t="s">
        <v>21</v>
      </c>
      <c r="K282" s="2" t="s">
        <v>1558</v>
      </c>
      <c r="L282" s="2" t="s">
        <v>1568</v>
      </c>
      <c r="M282" s="5" t="s">
        <v>1577</v>
      </c>
      <c r="N282" s="8" t="s">
        <v>1578</v>
      </c>
      <c r="O282" s="2">
        <f ca="1">DATEDIF(Addmisson[[#This Row],[Student_DOB]],TODAY(),"y")</f>
        <v>17</v>
      </c>
      <c r="P282" s="2" t="str">
        <f>TEXT(Addmisson[[#This Row],[Admission_Date]],"mmmm")</f>
        <v>October</v>
      </c>
      <c r="Q282" s="2">
        <f>YEAR(Addmisson[[#This Row],[Admission_Date]])</f>
        <v>2025</v>
      </c>
    </row>
    <row r="283" spans="1:17" x14ac:dyDescent="0.25">
      <c r="A283" s="7" t="s">
        <v>380</v>
      </c>
      <c r="B283" s="3">
        <v>45953</v>
      </c>
      <c r="C283" s="2" t="s">
        <v>829</v>
      </c>
      <c r="D283" s="2" t="s">
        <v>1341</v>
      </c>
      <c r="E283" s="3">
        <v>38051</v>
      </c>
      <c r="F283" s="2" t="s">
        <v>27</v>
      </c>
      <c r="G283" s="2" t="s">
        <v>27</v>
      </c>
      <c r="H283" s="2" t="s">
        <v>131</v>
      </c>
      <c r="I283" s="2" t="s">
        <v>1047</v>
      </c>
      <c r="J283" s="2" t="s">
        <v>1048</v>
      </c>
      <c r="K283" s="2" t="s">
        <v>1559</v>
      </c>
      <c r="L283" s="2" t="s">
        <v>1568</v>
      </c>
      <c r="M283" s="5" t="s">
        <v>1570</v>
      </c>
      <c r="N283" s="8" t="s">
        <v>1578</v>
      </c>
      <c r="O283" s="2">
        <f ca="1">DATEDIF(Addmisson[[#This Row],[Student_DOB]],TODAY(),"y")</f>
        <v>22</v>
      </c>
      <c r="P283" s="2" t="str">
        <f>TEXT(Addmisson[[#This Row],[Admission_Date]],"mmmm")</f>
        <v>October</v>
      </c>
      <c r="Q283" s="2">
        <f>YEAR(Addmisson[[#This Row],[Admission_Date]])</f>
        <v>2025</v>
      </c>
    </row>
    <row r="284" spans="1:17" x14ac:dyDescent="0.25">
      <c r="A284" s="7" t="s">
        <v>381</v>
      </c>
      <c r="B284" s="3">
        <v>45954</v>
      </c>
      <c r="C284" s="2" t="s">
        <v>830</v>
      </c>
      <c r="D284" s="2" t="s">
        <v>1342</v>
      </c>
      <c r="E284" s="3">
        <v>38533</v>
      </c>
      <c r="F284" s="2" t="s">
        <v>127</v>
      </c>
      <c r="G284" s="2" t="s">
        <v>127</v>
      </c>
      <c r="H284" s="2" t="s">
        <v>146</v>
      </c>
      <c r="I284" s="2" t="s">
        <v>1049</v>
      </c>
      <c r="J284" s="2" t="s">
        <v>1050</v>
      </c>
      <c r="K284" s="2" t="s">
        <v>1560</v>
      </c>
      <c r="L284" s="2" t="s">
        <v>1568</v>
      </c>
      <c r="M284" s="5" t="s">
        <v>1575</v>
      </c>
      <c r="N284" s="8" t="s">
        <v>1578</v>
      </c>
      <c r="O284" s="2">
        <f ca="1">DATEDIF(Addmisson[[#This Row],[Student_DOB]],TODAY(),"y")</f>
        <v>21</v>
      </c>
      <c r="P284" s="2" t="str">
        <f>TEXT(Addmisson[[#This Row],[Admission_Date]],"mmmm")</f>
        <v>October</v>
      </c>
      <c r="Q284" s="2">
        <f>YEAR(Addmisson[[#This Row],[Admission_Date]])</f>
        <v>2025</v>
      </c>
    </row>
    <row r="285" spans="1:17" x14ac:dyDescent="0.25">
      <c r="A285" s="7" t="s">
        <v>382</v>
      </c>
      <c r="B285" s="3">
        <v>45955</v>
      </c>
      <c r="C285" s="2" t="s">
        <v>831</v>
      </c>
      <c r="D285" s="2" t="s">
        <v>1343</v>
      </c>
      <c r="E285" s="3">
        <v>38308</v>
      </c>
      <c r="F285" s="2" t="s">
        <v>142</v>
      </c>
      <c r="G285" s="2" t="s">
        <v>142</v>
      </c>
      <c r="H285" s="2" t="s">
        <v>142</v>
      </c>
      <c r="I285" s="2" t="s">
        <v>1051</v>
      </c>
      <c r="J285" s="2" t="s">
        <v>1052</v>
      </c>
      <c r="K285" s="2" t="s">
        <v>1561</v>
      </c>
      <c r="L285" s="2" t="s">
        <v>1568</v>
      </c>
      <c r="M285" s="5" t="s">
        <v>1571</v>
      </c>
      <c r="N285" s="8" t="s">
        <v>1578</v>
      </c>
      <c r="O285" s="2">
        <f ca="1">DATEDIF(Addmisson[[#This Row],[Student_DOB]],TODAY(),"y")</f>
        <v>21</v>
      </c>
      <c r="P285" s="2" t="str">
        <f>TEXT(Addmisson[[#This Row],[Admission_Date]],"mmmm")</f>
        <v>October</v>
      </c>
      <c r="Q285" s="2">
        <f>YEAR(Addmisson[[#This Row],[Admission_Date]])</f>
        <v>2025</v>
      </c>
    </row>
    <row r="286" spans="1:17" x14ac:dyDescent="0.25">
      <c r="A286" s="7" t="s">
        <v>383</v>
      </c>
      <c r="B286" s="3">
        <v>45956</v>
      </c>
      <c r="C286" s="2" t="s">
        <v>832</v>
      </c>
      <c r="D286" s="2" t="s">
        <v>1344</v>
      </c>
      <c r="E286" s="3">
        <v>38760</v>
      </c>
      <c r="F286" s="2" t="s">
        <v>129</v>
      </c>
      <c r="G286" s="2" t="s">
        <v>129</v>
      </c>
      <c r="H286" s="2" t="s">
        <v>130</v>
      </c>
      <c r="I286" s="2" t="s">
        <v>1053</v>
      </c>
      <c r="J286" s="2" t="s">
        <v>1052</v>
      </c>
      <c r="K286" s="2" t="s">
        <v>1562</v>
      </c>
      <c r="L286" s="2" t="s">
        <v>1568</v>
      </c>
      <c r="M286" s="5" t="s">
        <v>1572</v>
      </c>
      <c r="N286" s="8" t="s">
        <v>1578</v>
      </c>
      <c r="O286" s="2">
        <f ca="1">DATEDIF(Addmisson[[#This Row],[Student_DOB]],TODAY(),"y")</f>
        <v>20</v>
      </c>
      <c r="P286" s="2" t="str">
        <f>TEXT(Addmisson[[#This Row],[Admission_Date]],"mmmm")</f>
        <v>October</v>
      </c>
      <c r="Q286" s="2">
        <f>YEAR(Addmisson[[#This Row],[Admission_Date]])</f>
        <v>2025</v>
      </c>
    </row>
    <row r="287" spans="1:17" x14ac:dyDescent="0.25">
      <c r="A287" s="7" t="s">
        <v>384</v>
      </c>
      <c r="B287" s="3">
        <v>45957</v>
      </c>
      <c r="C287" s="2" t="s">
        <v>833</v>
      </c>
      <c r="D287" s="2" t="s">
        <v>1345</v>
      </c>
      <c r="E287" s="3">
        <v>38865</v>
      </c>
      <c r="F287" s="2" t="s">
        <v>127</v>
      </c>
      <c r="G287" s="2" t="s">
        <v>127</v>
      </c>
      <c r="H287" s="2" t="s">
        <v>128</v>
      </c>
      <c r="I287" s="2" t="s">
        <v>1054</v>
      </c>
      <c r="J287" s="2" t="s">
        <v>1052</v>
      </c>
      <c r="K287" s="2" t="s">
        <v>1563</v>
      </c>
      <c r="L287" s="2" t="s">
        <v>1568</v>
      </c>
      <c r="M287" s="5" t="s">
        <v>1573</v>
      </c>
      <c r="N287" s="8" t="s">
        <v>1578</v>
      </c>
      <c r="O287" s="2">
        <f ca="1">DATEDIF(Addmisson[[#This Row],[Student_DOB]],TODAY(),"y")</f>
        <v>20</v>
      </c>
      <c r="P287" s="2" t="str">
        <f>TEXT(Addmisson[[#This Row],[Admission_Date]],"mmmm")</f>
        <v>October</v>
      </c>
      <c r="Q287" s="2">
        <f>YEAR(Addmisson[[#This Row],[Admission_Date]])</f>
        <v>2025</v>
      </c>
    </row>
    <row r="288" spans="1:17" x14ac:dyDescent="0.25">
      <c r="A288" s="7" t="s">
        <v>385</v>
      </c>
      <c r="B288" s="3">
        <v>45958</v>
      </c>
      <c r="C288" s="2" t="s">
        <v>834</v>
      </c>
      <c r="D288" s="2" t="s">
        <v>1346</v>
      </c>
      <c r="E288" s="3">
        <v>38690</v>
      </c>
      <c r="F288" s="2" t="s">
        <v>148</v>
      </c>
      <c r="G288" s="2" t="s">
        <v>148</v>
      </c>
      <c r="H288" s="2" t="s">
        <v>148</v>
      </c>
      <c r="I288" s="2" t="s">
        <v>1055</v>
      </c>
      <c r="J288" s="2" t="s">
        <v>1055</v>
      </c>
      <c r="K288" s="2" t="s">
        <v>1564</v>
      </c>
      <c r="L288" s="2" t="s">
        <v>1568</v>
      </c>
      <c r="M288" s="5" t="s">
        <v>1574</v>
      </c>
      <c r="N288" s="8" t="s">
        <v>1578</v>
      </c>
      <c r="O288" s="2">
        <f ca="1">DATEDIF(Addmisson[[#This Row],[Student_DOB]],TODAY(),"y")</f>
        <v>20</v>
      </c>
      <c r="P288" s="2" t="str">
        <f>TEXT(Addmisson[[#This Row],[Admission_Date]],"mmmm")</f>
        <v>October</v>
      </c>
      <c r="Q288" s="2">
        <f>YEAR(Addmisson[[#This Row],[Admission_Date]])</f>
        <v>2025</v>
      </c>
    </row>
    <row r="289" spans="1:17" x14ac:dyDescent="0.25">
      <c r="A289" s="7" t="s">
        <v>386</v>
      </c>
      <c r="B289" s="3">
        <v>45959</v>
      </c>
      <c r="C289" s="2" t="s">
        <v>835</v>
      </c>
      <c r="D289" s="2" t="s">
        <v>1347</v>
      </c>
      <c r="E289" s="3">
        <v>38208</v>
      </c>
      <c r="F289" s="2" t="s">
        <v>14</v>
      </c>
      <c r="G289" s="2" t="s">
        <v>14</v>
      </c>
      <c r="H289" s="2" t="s">
        <v>132</v>
      </c>
      <c r="I289" s="2" t="s">
        <v>16</v>
      </c>
      <c r="J289" s="2" t="s">
        <v>1056</v>
      </c>
      <c r="K289" s="2" t="s">
        <v>1565</v>
      </c>
      <c r="L289" s="2" t="s">
        <v>1568</v>
      </c>
      <c r="M289" s="5" t="s">
        <v>1576</v>
      </c>
      <c r="N289" s="8" t="s">
        <v>1578</v>
      </c>
      <c r="O289" s="2">
        <f ca="1">DATEDIF(Addmisson[[#This Row],[Student_DOB]],TODAY(),"y")</f>
        <v>22</v>
      </c>
      <c r="P289" s="2" t="str">
        <f>TEXT(Addmisson[[#This Row],[Admission_Date]],"mmmm")</f>
        <v>October</v>
      </c>
      <c r="Q289" s="2">
        <f>YEAR(Addmisson[[#This Row],[Admission_Date]])</f>
        <v>2025</v>
      </c>
    </row>
    <row r="290" spans="1:17" x14ac:dyDescent="0.25">
      <c r="A290" s="7" t="s">
        <v>387</v>
      </c>
      <c r="B290" s="3">
        <v>45960</v>
      </c>
      <c r="C290" s="2" t="s">
        <v>836</v>
      </c>
      <c r="D290" s="2" t="s">
        <v>1348</v>
      </c>
      <c r="E290" s="3">
        <v>38432</v>
      </c>
      <c r="F290" s="2" t="s">
        <v>127</v>
      </c>
      <c r="G290" s="2" t="s">
        <v>127</v>
      </c>
      <c r="H290" s="2" t="s">
        <v>133</v>
      </c>
      <c r="I290" s="2" t="s">
        <v>1057</v>
      </c>
      <c r="J290" s="2" t="s">
        <v>1058</v>
      </c>
      <c r="K290" s="2" t="s">
        <v>1558</v>
      </c>
      <c r="L290" s="2" t="s">
        <v>1568</v>
      </c>
      <c r="M290" s="5" t="s">
        <v>1577</v>
      </c>
      <c r="N290" s="8" t="s">
        <v>1578</v>
      </c>
      <c r="O290" s="2">
        <f ca="1">DATEDIF(Addmisson[[#This Row],[Student_DOB]],TODAY(),"y")</f>
        <v>21</v>
      </c>
      <c r="P290" s="2" t="str">
        <f>TEXT(Addmisson[[#This Row],[Admission_Date]],"mmmm")</f>
        <v>October</v>
      </c>
      <c r="Q290" s="2">
        <f>YEAR(Addmisson[[#This Row],[Admission_Date]])</f>
        <v>2025</v>
      </c>
    </row>
    <row r="291" spans="1:17" x14ac:dyDescent="0.25">
      <c r="A291" s="7" t="s">
        <v>388</v>
      </c>
      <c r="B291" s="3">
        <v>45961</v>
      </c>
      <c r="C291" s="2" t="s">
        <v>837</v>
      </c>
      <c r="D291" s="2" t="s">
        <v>1349</v>
      </c>
      <c r="E291" s="3">
        <v>38274</v>
      </c>
      <c r="F291" s="2" t="s">
        <v>138</v>
      </c>
      <c r="G291" s="2" t="s">
        <v>138</v>
      </c>
      <c r="H291" s="2" t="s">
        <v>138</v>
      </c>
      <c r="I291" s="2" t="s">
        <v>1059</v>
      </c>
      <c r="J291" s="2" t="s">
        <v>1059</v>
      </c>
      <c r="K291" s="2" t="s">
        <v>1559</v>
      </c>
      <c r="L291" s="2" t="s">
        <v>1568</v>
      </c>
      <c r="M291" s="5" t="s">
        <v>1570</v>
      </c>
      <c r="N291" s="8" t="s">
        <v>1578</v>
      </c>
      <c r="O291" s="2">
        <f ca="1">DATEDIF(Addmisson[[#This Row],[Student_DOB]],TODAY(),"y")</f>
        <v>22</v>
      </c>
      <c r="P291" s="2" t="str">
        <f>TEXT(Addmisson[[#This Row],[Admission_Date]],"mmmm")</f>
        <v>October</v>
      </c>
      <c r="Q291" s="2">
        <f>YEAR(Addmisson[[#This Row],[Admission_Date]])</f>
        <v>2025</v>
      </c>
    </row>
    <row r="292" spans="1:17" x14ac:dyDescent="0.25">
      <c r="A292" s="7" t="s">
        <v>389</v>
      </c>
      <c r="B292" s="3">
        <v>45962</v>
      </c>
      <c r="C292" s="2" t="s">
        <v>838</v>
      </c>
      <c r="D292" s="2" t="s">
        <v>1350</v>
      </c>
      <c r="E292" s="3">
        <v>38378</v>
      </c>
      <c r="F292" s="2" t="s">
        <v>127</v>
      </c>
      <c r="G292" s="2" t="s">
        <v>127</v>
      </c>
      <c r="H292" s="2" t="s">
        <v>141</v>
      </c>
      <c r="I292" s="2" t="s">
        <v>1060</v>
      </c>
      <c r="J292" s="2" t="s">
        <v>21</v>
      </c>
      <c r="K292" s="2" t="s">
        <v>1560</v>
      </c>
      <c r="L292" s="2" t="s">
        <v>1568</v>
      </c>
      <c r="M292" s="5" t="s">
        <v>1575</v>
      </c>
      <c r="N292" s="8" t="s">
        <v>1578</v>
      </c>
      <c r="O292" s="2">
        <f ca="1">DATEDIF(Addmisson[[#This Row],[Student_DOB]],TODAY(),"y")</f>
        <v>21</v>
      </c>
      <c r="P292" s="2" t="str">
        <f>TEXT(Addmisson[[#This Row],[Admission_Date]],"mmmm")</f>
        <v>November</v>
      </c>
      <c r="Q292" s="2">
        <f>YEAR(Addmisson[[#This Row],[Admission_Date]])</f>
        <v>2025</v>
      </c>
    </row>
    <row r="293" spans="1:17" x14ac:dyDescent="0.25">
      <c r="A293" s="7" t="s">
        <v>390</v>
      </c>
      <c r="B293" s="3">
        <v>45963</v>
      </c>
      <c r="C293" s="2" t="s">
        <v>839</v>
      </c>
      <c r="D293" s="2" t="s">
        <v>1351</v>
      </c>
      <c r="E293" s="3">
        <v>38141</v>
      </c>
      <c r="F293" s="2" t="s">
        <v>138</v>
      </c>
      <c r="G293" s="2" t="s">
        <v>138</v>
      </c>
      <c r="H293" s="2" t="s">
        <v>138</v>
      </c>
      <c r="I293" s="2" t="s">
        <v>1047</v>
      </c>
      <c r="J293" s="2" t="s">
        <v>1048</v>
      </c>
      <c r="K293" s="2" t="s">
        <v>1561</v>
      </c>
      <c r="L293" s="2" t="s">
        <v>1568</v>
      </c>
      <c r="M293" s="5" t="s">
        <v>1571</v>
      </c>
      <c r="N293" s="8" t="s">
        <v>1578</v>
      </c>
      <c r="O293" s="2">
        <f ca="1">DATEDIF(Addmisson[[#This Row],[Student_DOB]],TODAY(),"y")</f>
        <v>22</v>
      </c>
      <c r="P293" s="2" t="str">
        <f>TEXT(Addmisson[[#This Row],[Admission_Date]],"mmmm")</f>
        <v>November</v>
      </c>
      <c r="Q293" s="2">
        <f>YEAR(Addmisson[[#This Row],[Admission_Date]])</f>
        <v>2025</v>
      </c>
    </row>
    <row r="294" spans="1:17" x14ac:dyDescent="0.25">
      <c r="A294" s="7" t="s">
        <v>391</v>
      </c>
      <c r="B294" s="3">
        <v>45964</v>
      </c>
      <c r="C294" s="2" t="s">
        <v>840</v>
      </c>
      <c r="D294" s="2" t="s">
        <v>1352</v>
      </c>
      <c r="E294" s="3">
        <v>38613</v>
      </c>
      <c r="F294" s="2" t="s">
        <v>127</v>
      </c>
      <c r="G294" s="2" t="s">
        <v>127</v>
      </c>
      <c r="H294" s="2" t="s">
        <v>141</v>
      </c>
      <c r="I294" s="2" t="s">
        <v>1049</v>
      </c>
      <c r="J294" s="2" t="s">
        <v>1050</v>
      </c>
      <c r="K294" s="2" t="s">
        <v>1562</v>
      </c>
      <c r="L294" s="2" t="s">
        <v>1568</v>
      </c>
      <c r="M294" s="5" t="s">
        <v>1572</v>
      </c>
      <c r="N294" s="8" t="s">
        <v>1578</v>
      </c>
      <c r="O294" s="2">
        <f ca="1">DATEDIF(Addmisson[[#This Row],[Student_DOB]],TODAY(),"y")</f>
        <v>21</v>
      </c>
      <c r="P294" s="2" t="str">
        <f>TEXT(Addmisson[[#This Row],[Admission_Date]],"mmmm")</f>
        <v>November</v>
      </c>
      <c r="Q294" s="2">
        <f>YEAR(Addmisson[[#This Row],[Admission_Date]])</f>
        <v>2025</v>
      </c>
    </row>
    <row r="295" spans="1:17" x14ac:dyDescent="0.25">
      <c r="A295" s="7" t="s">
        <v>392</v>
      </c>
      <c r="B295" s="3">
        <v>45965</v>
      </c>
      <c r="C295" s="2" t="s">
        <v>841</v>
      </c>
      <c r="D295" s="2" t="s">
        <v>1353</v>
      </c>
      <c r="E295" s="3">
        <v>39427</v>
      </c>
      <c r="F295" s="2" t="s">
        <v>129</v>
      </c>
      <c r="G295" s="2" t="s">
        <v>129</v>
      </c>
      <c r="H295" s="2" t="s">
        <v>143</v>
      </c>
      <c r="I295" s="2" t="s">
        <v>1051</v>
      </c>
      <c r="J295" s="2" t="s">
        <v>1052</v>
      </c>
      <c r="K295" s="2" t="s">
        <v>1563</v>
      </c>
      <c r="L295" s="2" t="s">
        <v>1568</v>
      </c>
      <c r="M295" s="5" t="s">
        <v>1573</v>
      </c>
      <c r="N295" s="8" t="s">
        <v>1578</v>
      </c>
      <c r="O295" s="2">
        <f ca="1">DATEDIF(Addmisson[[#This Row],[Student_DOB]],TODAY(),"y")</f>
        <v>18</v>
      </c>
      <c r="P295" s="2" t="str">
        <f>TEXT(Addmisson[[#This Row],[Admission_Date]],"mmmm")</f>
        <v>November</v>
      </c>
      <c r="Q295" s="2">
        <f>YEAR(Addmisson[[#This Row],[Admission_Date]])</f>
        <v>2025</v>
      </c>
    </row>
    <row r="296" spans="1:17" x14ac:dyDescent="0.25">
      <c r="A296" s="7" t="s">
        <v>393</v>
      </c>
      <c r="B296" s="3">
        <v>45966</v>
      </c>
      <c r="C296" s="2" t="s">
        <v>842</v>
      </c>
      <c r="D296" s="2" t="s">
        <v>1354</v>
      </c>
      <c r="E296" s="3">
        <v>38467</v>
      </c>
      <c r="F296" s="2" t="s">
        <v>14</v>
      </c>
      <c r="G296" s="2" t="s">
        <v>14</v>
      </c>
      <c r="H296" s="2" t="s">
        <v>15</v>
      </c>
      <c r="I296" s="2" t="s">
        <v>1053</v>
      </c>
      <c r="J296" s="2" t="s">
        <v>1052</v>
      </c>
      <c r="K296" s="2" t="s">
        <v>1564</v>
      </c>
      <c r="L296" s="2" t="s">
        <v>1568</v>
      </c>
      <c r="M296" s="5" t="s">
        <v>1570</v>
      </c>
      <c r="N296" s="8" t="s">
        <v>1578</v>
      </c>
      <c r="O296" s="2">
        <f ca="1">DATEDIF(Addmisson[[#This Row],[Student_DOB]],TODAY(),"y")</f>
        <v>21</v>
      </c>
      <c r="P296" s="2" t="str">
        <f>TEXT(Addmisson[[#This Row],[Admission_Date]],"mmmm")</f>
        <v>November</v>
      </c>
      <c r="Q296" s="2">
        <f>YEAR(Addmisson[[#This Row],[Admission_Date]])</f>
        <v>2025</v>
      </c>
    </row>
    <row r="297" spans="1:17" x14ac:dyDescent="0.25">
      <c r="A297" s="7" t="s">
        <v>394</v>
      </c>
      <c r="B297" s="3">
        <v>45967</v>
      </c>
      <c r="C297" s="2" t="s">
        <v>843</v>
      </c>
      <c r="D297" s="2" t="s">
        <v>1355</v>
      </c>
      <c r="E297" s="3">
        <v>38174</v>
      </c>
      <c r="F297" s="2" t="s">
        <v>145</v>
      </c>
      <c r="G297" s="2" t="s">
        <v>145</v>
      </c>
      <c r="H297" s="2" t="s">
        <v>145</v>
      </c>
      <c r="I297" s="2" t="s">
        <v>1054</v>
      </c>
      <c r="J297" s="2" t="s">
        <v>1052</v>
      </c>
      <c r="K297" s="2" t="s">
        <v>1565</v>
      </c>
      <c r="L297" s="2" t="s">
        <v>1568</v>
      </c>
      <c r="M297" s="5" t="s">
        <v>1575</v>
      </c>
      <c r="N297" s="8" t="s">
        <v>1578</v>
      </c>
      <c r="O297" s="2">
        <f ca="1">DATEDIF(Addmisson[[#This Row],[Student_DOB]],TODAY(),"y")</f>
        <v>22</v>
      </c>
      <c r="P297" s="2" t="str">
        <f>TEXT(Addmisson[[#This Row],[Admission_Date]],"mmmm")</f>
        <v>November</v>
      </c>
      <c r="Q297" s="2">
        <f>YEAR(Addmisson[[#This Row],[Admission_Date]])</f>
        <v>2025</v>
      </c>
    </row>
    <row r="298" spans="1:17" x14ac:dyDescent="0.25">
      <c r="A298" s="7" t="s">
        <v>395</v>
      </c>
      <c r="B298" s="3">
        <v>45968</v>
      </c>
      <c r="C298" s="2" t="s">
        <v>844</v>
      </c>
      <c r="D298" s="2" t="s">
        <v>1356</v>
      </c>
      <c r="E298" s="3">
        <v>38403</v>
      </c>
      <c r="F298" s="2" t="s">
        <v>127</v>
      </c>
      <c r="G298" s="2" t="s">
        <v>127</v>
      </c>
      <c r="H298" s="2" t="s">
        <v>144</v>
      </c>
      <c r="I298" s="2" t="s">
        <v>1055</v>
      </c>
      <c r="J298" s="2" t="s">
        <v>1055</v>
      </c>
      <c r="K298" s="2" t="s">
        <v>1558</v>
      </c>
      <c r="L298" s="2" t="s">
        <v>1568</v>
      </c>
      <c r="M298" s="5" t="s">
        <v>1571</v>
      </c>
      <c r="N298" s="8" t="s">
        <v>1578</v>
      </c>
      <c r="O298" s="2">
        <f ca="1">DATEDIF(Addmisson[[#This Row],[Student_DOB]],TODAY(),"y")</f>
        <v>21</v>
      </c>
      <c r="P298" s="2" t="str">
        <f>TEXT(Addmisson[[#This Row],[Admission_Date]],"mmmm")</f>
        <v>November</v>
      </c>
      <c r="Q298" s="2">
        <f>YEAR(Addmisson[[#This Row],[Admission_Date]])</f>
        <v>2025</v>
      </c>
    </row>
    <row r="299" spans="1:17" x14ac:dyDescent="0.25">
      <c r="A299" s="7" t="s">
        <v>396</v>
      </c>
      <c r="B299" s="3">
        <v>45969</v>
      </c>
      <c r="C299" s="2" t="s">
        <v>845</v>
      </c>
      <c r="D299" s="2" t="s">
        <v>1357</v>
      </c>
      <c r="E299" s="3">
        <v>38289</v>
      </c>
      <c r="F299" s="2" t="s">
        <v>129</v>
      </c>
      <c r="G299" s="2" t="s">
        <v>129</v>
      </c>
      <c r="H299" s="2" t="s">
        <v>147</v>
      </c>
      <c r="I299" s="2" t="s">
        <v>16</v>
      </c>
      <c r="J299" s="2" t="s">
        <v>1056</v>
      </c>
      <c r="K299" s="2" t="s">
        <v>1559</v>
      </c>
      <c r="L299" s="2" t="s">
        <v>1568</v>
      </c>
      <c r="M299" s="5" t="s">
        <v>1572</v>
      </c>
      <c r="N299" s="8" t="s">
        <v>1578</v>
      </c>
      <c r="O299" s="2">
        <f ca="1">DATEDIF(Addmisson[[#This Row],[Student_DOB]],TODAY(),"y")</f>
        <v>21</v>
      </c>
      <c r="P299" s="2" t="str">
        <f>TEXT(Addmisson[[#This Row],[Admission_Date]],"mmmm")</f>
        <v>November</v>
      </c>
      <c r="Q299" s="2">
        <f>YEAR(Addmisson[[#This Row],[Admission_Date]])</f>
        <v>2025</v>
      </c>
    </row>
    <row r="300" spans="1:17" x14ac:dyDescent="0.25">
      <c r="A300" s="7" t="s">
        <v>397</v>
      </c>
      <c r="B300" s="3">
        <v>45970</v>
      </c>
      <c r="C300" s="2" t="s">
        <v>846</v>
      </c>
      <c r="D300" s="2" t="s">
        <v>1358</v>
      </c>
      <c r="E300" s="3">
        <v>38485</v>
      </c>
      <c r="F300" s="2" t="s">
        <v>27</v>
      </c>
      <c r="G300" s="2" t="s">
        <v>27</v>
      </c>
      <c r="H300" s="2" t="s">
        <v>131</v>
      </c>
      <c r="I300" s="2" t="s">
        <v>1057</v>
      </c>
      <c r="J300" s="2" t="s">
        <v>1058</v>
      </c>
      <c r="K300" s="2" t="s">
        <v>1560</v>
      </c>
      <c r="L300" s="2" t="s">
        <v>1568</v>
      </c>
      <c r="M300" s="5" t="s">
        <v>1573</v>
      </c>
      <c r="N300" s="8" t="s">
        <v>1578</v>
      </c>
      <c r="O300" s="2">
        <f ca="1">DATEDIF(Addmisson[[#This Row],[Student_DOB]],TODAY(),"y")</f>
        <v>21</v>
      </c>
      <c r="P300" s="2" t="str">
        <f>TEXT(Addmisson[[#This Row],[Admission_Date]],"mmmm")</f>
        <v>November</v>
      </c>
      <c r="Q300" s="2">
        <f>YEAR(Addmisson[[#This Row],[Admission_Date]])</f>
        <v>2025</v>
      </c>
    </row>
    <row r="301" spans="1:17" x14ac:dyDescent="0.25">
      <c r="A301" s="7" t="s">
        <v>398</v>
      </c>
      <c r="B301" s="3">
        <v>45971</v>
      </c>
      <c r="C301" s="2" t="s">
        <v>847</v>
      </c>
      <c r="D301" s="2" t="s">
        <v>1359</v>
      </c>
      <c r="E301" s="3">
        <v>38047</v>
      </c>
      <c r="F301" s="2" t="s">
        <v>127</v>
      </c>
      <c r="G301" s="2" t="s">
        <v>127</v>
      </c>
      <c r="H301" s="2" t="s">
        <v>146</v>
      </c>
      <c r="I301" s="2" t="s">
        <v>1059</v>
      </c>
      <c r="J301" s="2" t="s">
        <v>1059</v>
      </c>
      <c r="K301" s="2" t="s">
        <v>1561</v>
      </c>
      <c r="L301" s="2" t="s">
        <v>1568</v>
      </c>
      <c r="M301" s="5" t="s">
        <v>1574</v>
      </c>
      <c r="N301" s="8" t="s">
        <v>1578</v>
      </c>
      <c r="O301" s="2">
        <f ca="1">DATEDIF(Addmisson[[#This Row],[Student_DOB]],TODAY(),"y")</f>
        <v>22</v>
      </c>
      <c r="P301" s="2" t="str">
        <f>TEXT(Addmisson[[#This Row],[Admission_Date]],"mmmm")</f>
        <v>November</v>
      </c>
      <c r="Q301" s="2">
        <f>YEAR(Addmisson[[#This Row],[Admission_Date]])</f>
        <v>2025</v>
      </c>
    </row>
    <row r="302" spans="1:17" x14ac:dyDescent="0.25">
      <c r="A302" s="7" t="s">
        <v>399</v>
      </c>
      <c r="B302" s="3">
        <v>45972</v>
      </c>
      <c r="C302" s="2" t="s">
        <v>848</v>
      </c>
      <c r="D302" s="2" t="s">
        <v>1360</v>
      </c>
      <c r="E302" s="3">
        <v>38586</v>
      </c>
      <c r="F302" s="2" t="s">
        <v>142</v>
      </c>
      <c r="G302" s="2" t="s">
        <v>142</v>
      </c>
      <c r="H302" s="2" t="s">
        <v>142</v>
      </c>
      <c r="I302" s="2" t="s">
        <v>1060</v>
      </c>
      <c r="J302" s="2" t="s">
        <v>21</v>
      </c>
      <c r="K302" s="2" t="s">
        <v>1562</v>
      </c>
      <c r="L302" s="2" t="s">
        <v>1568</v>
      </c>
      <c r="M302" s="5" t="s">
        <v>1576</v>
      </c>
      <c r="N302" s="8" t="s">
        <v>1578</v>
      </c>
      <c r="O302" s="2">
        <f ca="1">DATEDIF(Addmisson[[#This Row],[Student_DOB]],TODAY(),"y")</f>
        <v>21</v>
      </c>
      <c r="P302" s="2" t="str">
        <f>TEXT(Addmisson[[#This Row],[Admission_Date]],"mmmm")</f>
        <v>November</v>
      </c>
      <c r="Q302" s="2">
        <f>YEAR(Addmisson[[#This Row],[Admission_Date]])</f>
        <v>2025</v>
      </c>
    </row>
    <row r="303" spans="1:17" x14ac:dyDescent="0.25">
      <c r="A303" s="7" t="s">
        <v>400</v>
      </c>
      <c r="B303" s="3">
        <v>45973</v>
      </c>
      <c r="C303" s="2" t="s">
        <v>849</v>
      </c>
      <c r="D303" s="2" t="s">
        <v>1361</v>
      </c>
      <c r="E303" s="3">
        <v>39768</v>
      </c>
      <c r="F303" s="2" t="s">
        <v>129</v>
      </c>
      <c r="G303" s="2" t="s">
        <v>129</v>
      </c>
      <c r="H303" s="2" t="s">
        <v>130</v>
      </c>
      <c r="I303" s="2" t="s">
        <v>1047</v>
      </c>
      <c r="J303" s="2" t="s">
        <v>1048</v>
      </c>
      <c r="K303" s="2" t="s">
        <v>1563</v>
      </c>
      <c r="L303" s="2" t="s">
        <v>1568</v>
      </c>
      <c r="M303" s="5" t="s">
        <v>1577</v>
      </c>
      <c r="N303" s="8" t="s">
        <v>1578</v>
      </c>
      <c r="O303" s="2">
        <f ca="1">DATEDIF(Addmisson[[#This Row],[Student_DOB]],TODAY(),"y")</f>
        <v>17</v>
      </c>
      <c r="P303" s="2" t="str">
        <f>TEXT(Addmisson[[#This Row],[Admission_Date]],"mmmm")</f>
        <v>November</v>
      </c>
      <c r="Q303" s="2">
        <f>YEAR(Addmisson[[#This Row],[Admission_Date]])</f>
        <v>2025</v>
      </c>
    </row>
    <row r="304" spans="1:17" x14ac:dyDescent="0.25">
      <c r="A304" s="7" t="s">
        <v>401</v>
      </c>
      <c r="B304" s="3">
        <v>45974</v>
      </c>
      <c r="C304" s="2" t="s">
        <v>850</v>
      </c>
      <c r="D304" s="2" t="s">
        <v>1362</v>
      </c>
      <c r="E304" s="3">
        <v>38510</v>
      </c>
      <c r="F304" s="2" t="s">
        <v>127</v>
      </c>
      <c r="G304" s="2" t="s">
        <v>127</v>
      </c>
      <c r="H304" s="2" t="s">
        <v>128</v>
      </c>
      <c r="I304" s="2" t="s">
        <v>1049</v>
      </c>
      <c r="J304" s="2" t="s">
        <v>1050</v>
      </c>
      <c r="K304" s="2" t="s">
        <v>1564</v>
      </c>
      <c r="L304" s="2" t="s">
        <v>1568</v>
      </c>
      <c r="M304" s="5" t="s">
        <v>1570</v>
      </c>
      <c r="N304" s="8" t="s">
        <v>1578</v>
      </c>
      <c r="O304" s="2">
        <f ca="1">DATEDIF(Addmisson[[#This Row],[Student_DOB]],TODAY(),"y")</f>
        <v>21</v>
      </c>
      <c r="P304" s="2" t="str">
        <f>TEXT(Addmisson[[#This Row],[Admission_Date]],"mmmm")</f>
        <v>November</v>
      </c>
      <c r="Q304" s="2">
        <f>YEAR(Addmisson[[#This Row],[Admission_Date]])</f>
        <v>2025</v>
      </c>
    </row>
    <row r="305" spans="1:17" x14ac:dyDescent="0.25">
      <c r="A305" s="7" t="s">
        <v>402</v>
      </c>
      <c r="B305" s="3">
        <v>45975</v>
      </c>
      <c r="C305" s="2" t="s">
        <v>851</v>
      </c>
      <c r="D305" s="2" t="s">
        <v>1363</v>
      </c>
      <c r="E305" s="3">
        <v>38016</v>
      </c>
      <c r="F305" s="2" t="s">
        <v>148</v>
      </c>
      <c r="G305" s="2" t="s">
        <v>148</v>
      </c>
      <c r="H305" s="2" t="s">
        <v>148</v>
      </c>
      <c r="I305" s="2" t="s">
        <v>1051</v>
      </c>
      <c r="J305" s="2" t="s">
        <v>1052</v>
      </c>
      <c r="K305" s="2" t="s">
        <v>1565</v>
      </c>
      <c r="L305" s="2" t="s">
        <v>1568</v>
      </c>
      <c r="M305" s="5" t="s">
        <v>1575</v>
      </c>
      <c r="N305" s="8" t="s">
        <v>1578</v>
      </c>
      <c r="O305" s="2">
        <f ca="1">DATEDIF(Addmisson[[#This Row],[Student_DOB]],TODAY(),"y")</f>
        <v>22</v>
      </c>
      <c r="P305" s="2" t="str">
        <f>TEXT(Addmisson[[#This Row],[Admission_Date]],"mmmm")</f>
        <v>November</v>
      </c>
      <c r="Q305" s="2">
        <f>YEAR(Addmisson[[#This Row],[Admission_Date]])</f>
        <v>2025</v>
      </c>
    </row>
    <row r="306" spans="1:17" x14ac:dyDescent="0.25">
      <c r="A306" s="7" t="s">
        <v>403</v>
      </c>
      <c r="B306" s="3">
        <v>45976</v>
      </c>
      <c r="C306" s="2" t="s">
        <v>852</v>
      </c>
      <c r="D306" s="2" t="s">
        <v>1364</v>
      </c>
      <c r="E306" s="3">
        <v>38644</v>
      </c>
      <c r="F306" s="2" t="s">
        <v>14</v>
      </c>
      <c r="G306" s="2" t="s">
        <v>14</v>
      </c>
      <c r="H306" s="2" t="s">
        <v>132</v>
      </c>
      <c r="I306" s="2" t="s">
        <v>1053</v>
      </c>
      <c r="J306" s="2" t="s">
        <v>1052</v>
      </c>
      <c r="K306" s="2" t="s">
        <v>1558</v>
      </c>
      <c r="L306" s="2" t="s">
        <v>1568</v>
      </c>
      <c r="M306" s="5" t="s">
        <v>1571</v>
      </c>
      <c r="N306" s="8" t="s">
        <v>1578</v>
      </c>
      <c r="O306" s="2">
        <f ca="1">DATEDIF(Addmisson[[#This Row],[Student_DOB]],TODAY(),"y")</f>
        <v>20</v>
      </c>
      <c r="P306" s="2" t="str">
        <f>TEXT(Addmisson[[#This Row],[Admission_Date]],"mmmm")</f>
        <v>November</v>
      </c>
      <c r="Q306" s="2">
        <f>YEAR(Addmisson[[#This Row],[Admission_Date]])</f>
        <v>2025</v>
      </c>
    </row>
    <row r="307" spans="1:17" x14ac:dyDescent="0.25">
      <c r="A307" s="7" t="s">
        <v>404</v>
      </c>
      <c r="B307" s="3">
        <v>45977</v>
      </c>
      <c r="C307" s="2" t="s">
        <v>853</v>
      </c>
      <c r="D307" s="2" t="s">
        <v>1365</v>
      </c>
      <c r="E307" s="3">
        <v>38081</v>
      </c>
      <c r="F307" s="2" t="s">
        <v>127</v>
      </c>
      <c r="G307" s="2" t="s">
        <v>127</v>
      </c>
      <c r="H307" s="2" t="s">
        <v>133</v>
      </c>
      <c r="I307" s="2" t="s">
        <v>1054</v>
      </c>
      <c r="J307" s="2" t="s">
        <v>1052</v>
      </c>
      <c r="K307" s="2" t="s">
        <v>1559</v>
      </c>
      <c r="L307" s="2" t="s">
        <v>1568</v>
      </c>
      <c r="M307" s="5" t="s">
        <v>1572</v>
      </c>
      <c r="N307" s="8" t="s">
        <v>1578</v>
      </c>
      <c r="O307" s="2">
        <f ca="1">DATEDIF(Addmisson[[#This Row],[Student_DOB]],TODAY(),"y")</f>
        <v>22</v>
      </c>
      <c r="P307" s="2" t="str">
        <f>TEXT(Addmisson[[#This Row],[Admission_Date]],"mmmm")</f>
        <v>November</v>
      </c>
      <c r="Q307" s="2">
        <f>YEAR(Addmisson[[#This Row],[Admission_Date]])</f>
        <v>2025</v>
      </c>
    </row>
    <row r="308" spans="1:17" x14ac:dyDescent="0.25">
      <c r="A308" s="7" t="s">
        <v>405</v>
      </c>
      <c r="B308" s="3">
        <v>45978</v>
      </c>
      <c r="C308" s="2" t="s">
        <v>854</v>
      </c>
      <c r="D308" s="2" t="s">
        <v>1366</v>
      </c>
      <c r="E308" s="3">
        <v>38560</v>
      </c>
      <c r="F308" s="2" t="s">
        <v>138</v>
      </c>
      <c r="G308" s="2" t="s">
        <v>138</v>
      </c>
      <c r="H308" s="2" t="s">
        <v>138</v>
      </c>
      <c r="I308" s="2" t="s">
        <v>1055</v>
      </c>
      <c r="J308" s="2" t="s">
        <v>1055</v>
      </c>
      <c r="K308" s="2" t="s">
        <v>1560</v>
      </c>
      <c r="L308" s="2" t="s">
        <v>1568</v>
      </c>
      <c r="M308" s="5" t="s">
        <v>1573</v>
      </c>
      <c r="N308" s="8" t="s">
        <v>1578</v>
      </c>
      <c r="O308" s="2">
        <f ca="1">DATEDIF(Addmisson[[#This Row],[Student_DOB]],TODAY(),"y")</f>
        <v>21</v>
      </c>
      <c r="P308" s="2" t="str">
        <f>TEXT(Addmisson[[#This Row],[Admission_Date]],"mmmm")</f>
        <v>November</v>
      </c>
      <c r="Q308" s="2">
        <f>YEAR(Addmisson[[#This Row],[Admission_Date]])</f>
        <v>2025</v>
      </c>
    </row>
    <row r="309" spans="1:17" x14ac:dyDescent="0.25">
      <c r="A309" s="7" t="s">
        <v>406</v>
      </c>
      <c r="B309" s="3">
        <v>45979</v>
      </c>
      <c r="C309" s="2" t="s">
        <v>855</v>
      </c>
      <c r="D309" s="2" t="s">
        <v>1367</v>
      </c>
      <c r="E309" s="3">
        <v>38242</v>
      </c>
      <c r="F309" s="2" t="s">
        <v>127</v>
      </c>
      <c r="G309" s="2" t="s">
        <v>127</v>
      </c>
      <c r="H309" s="2" t="s">
        <v>141</v>
      </c>
      <c r="I309" s="2" t="s">
        <v>16</v>
      </c>
      <c r="J309" s="2" t="s">
        <v>1056</v>
      </c>
      <c r="K309" s="2" t="s">
        <v>1561</v>
      </c>
      <c r="L309" s="2" t="s">
        <v>1568</v>
      </c>
      <c r="M309" s="5" t="s">
        <v>1574</v>
      </c>
      <c r="N309" s="8" t="s">
        <v>1578</v>
      </c>
      <c r="O309" s="2">
        <f ca="1">DATEDIF(Addmisson[[#This Row],[Student_DOB]],TODAY(),"y")</f>
        <v>22</v>
      </c>
      <c r="P309" s="2" t="str">
        <f>TEXT(Addmisson[[#This Row],[Admission_Date]],"mmmm")</f>
        <v>November</v>
      </c>
      <c r="Q309" s="2">
        <f>YEAR(Addmisson[[#This Row],[Admission_Date]])</f>
        <v>2025</v>
      </c>
    </row>
    <row r="310" spans="1:17" x14ac:dyDescent="0.25">
      <c r="A310" s="7" t="s">
        <v>407</v>
      </c>
      <c r="B310" s="3">
        <v>45980</v>
      </c>
      <c r="C310" s="2" t="s">
        <v>856</v>
      </c>
      <c r="D310" s="2" t="s">
        <v>1368</v>
      </c>
      <c r="E310" s="3">
        <v>39805</v>
      </c>
      <c r="F310" s="2" t="s">
        <v>129</v>
      </c>
      <c r="G310" s="2" t="s">
        <v>129</v>
      </c>
      <c r="H310" s="2" t="s">
        <v>143</v>
      </c>
      <c r="I310" s="2" t="s">
        <v>1057</v>
      </c>
      <c r="J310" s="2" t="s">
        <v>1058</v>
      </c>
      <c r="K310" s="2" t="s">
        <v>1562</v>
      </c>
      <c r="L310" s="2" t="s">
        <v>1568</v>
      </c>
      <c r="M310" s="5" t="s">
        <v>1576</v>
      </c>
      <c r="N310" s="8" t="s">
        <v>1578</v>
      </c>
      <c r="O310" s="2">
        <f ca="1">DATEDIF(Addmisson[[#This Row],[Student_DOB]],TODAY(),"y")</f>
        <v>17</v>
      </c>
      <c r="P310" s="2" t="str">
        <f>TEXT(Addmisson[[#This Row],[Admission_Date]],"mmmm")</f>
        <v>November</v>
      </c>
      <c r="Q310" s="2">
        <f>YEAR(Addmisson[[#This Row],[Admission_Date]])</f>
        <v>2025</v>
      </c>
    </row>
    <row r="311" spans="1:17" x14ac:dyDescent="0.25">
      <c r="A311" s="7" t="s">
        <v>408</v>
      </c>
      <c r="B311" s="3">
        <v>45981</v>
      </c>
      <c r="C311" s="2" t="s">
        <v>857</v>
      </c>
      <c r="D311" s="2" t="s">
        <v>1369</v>
      </c>
      <c r="E311" s="3">
        <v>38115</v>
      </c>
      <c r="F311" s="2" t="s">
        <v>14</v>
      </c>
      <c r="G311" s="2" t="s">
        <v>14</v>
      </c>
      <c r="H311" s="2" t="s">
        <v>15</v>
      </c>
      <c r="I311" s="2" t="s">
        <v>1059</v>
      </c>
      <c r="J311" s="2" t="s">
        <v>1059</v>
      </c>
      <c r="K311" s="2" t="s">
        <v>1563</v>
      </c>
      <c r="L311" s="2" t="s">
        <v>1568</v>
      </c>
      <c r="M311" s="5" t="s">
        <v>1577</v>
      </c>
      <c r="N311" s="8" t="s">
        <v>1578</v>
      </c>
      <c r="O311" s="2">
        <f ca="1">DATEDIF(Addmisson[[#This Row],[Student_DOB]],TODAY(),"y")</f>
        <v>22</v>
      </c>
      <c r="P311" s="2" t="str">
        <f>TEXT(Addmisson[[#This Row],[Admission_Date]],"mmmm")</f>
        <v>November</v>
      </c>
      <c r="Q311" s="2">
        <f>YEAR(Addmisson[[#This Row],[Admission_Date]])</f>
        <v>2025</v>
      </c>
    </row>
    <row r="312" spans="1:17" x14ac:dyDescent="0.25">
      <c r="A312" s="7" t="s">
        <v>409</v>
      </c>
      <c r="B312" s="3">
        <v>45982</v>
      </c>
      <c r="C312" s="2" t="s">
        <v>858</v>
      </c>
      <c r="D312" s="2" t="s">
        <v>1370</v>
      </c>
      <c r="E312" s="3">
        <v>39675</v>
      </c>
      <c r="F312" s="2" t="s">
        <v>145</v>
      </c>
      <c r="G312" s="2" t="s">
        <v>145</v>
      </c>
      <c r="H312" s="2" t="s">
        <v>145</v>
      </c>
      <c r="I312" s="2" t="s">
        <v>1060</v>
      </c>
      <c r="J312" s="2" t="s">
        <v>21</v>
      </c>
      <c r="K312" s="2" t="s">
        <v>1564</v>
      </c>
      <c r="L312" s="2" t="s">
        <v>1568</v>
      </c>
      <c r="M312" s="5" t="s">
        <v>1570</v>
      </c>
      <c r="N312" s="8" t="s">
        <v>1578</v>
      </c>
      <c r="O312" s="2">
        <f ca="1">DATEDIF(Addmisson[[#This Row],[Student_DOB]],TODAY(),"y")</f>
        <v>18</v>
      </c>
      <c r="P312" s="2" t="str">
        <f>TEXT(Addmisson[[#This Row],[Admission_Date]],"mmmm")</f>
        <v>November</v>
      </c>
      <c r="Q312" s="2">
        <f>YEAR(Addmisson[[#This Row],[Admission_Date]])</f>
        <v>2025</v>
      </c>
    </row>
    <row r="313" spans="1:17" x14ac:dyDescent="0.25">
      <c r="A313" s="7" t="s">
        <v>410</v>
      </c>
      <c r="B313" s="3">
        <v>45983</v>
      </c>
      <c r="C313" s="2" t="s">
        <v>859</v>
      </c>
      <c r="D313" s="2" t="s">
        <v>1371</v>
      </c>
      <c r="E313" s="3">
        <v>38291</v>
      </c>
      <c r="F313" s="2" t="s">
        <v>127</v>
      </c>
      <c r="G313" s="2" t="s">
        <v>127</v>
      </c>
      <c r="H313" s="2" t="s">
        <v>144</v>
      </c>
      <c r="I313" s="2" t="s">
        <v>1047</v>
      </c>
      <c r="J313" s="2" t="s">
        <v>1048</v>
      </c>
      <c r="K313" s="2" t="s">
        <v>1565</v>
      </c>
      <c r="L313" s="2" t="s">
        <v>1568</v>
      </c>
      <c r="M313" s="5" t="s">
        <v>1575</v>
      </c>
      <c r="N313" s="8" t="s">
        <v>1578</v>
      </c>
      <c r="O313" s="2">
        <f ca="1">DATEDIF(Addmisson[[#This Row],[Student_DOB]],TODAY(),"y")</f>
        <v>21</v>
      </c>
      <c r="P313" s="2" t="str">
        <f>TEXT(Addmisson[[#This Row],[Admission_Date]],"mmmm")</f>
        <v>November</v>
      </c>
      <c r="Q313" s="2">
        <f>YEAR(Addmisson[[#This Row],[Admission_Date]])</f>
        <v>2025</v>
      </c>
    </row>
    <row r="314" spans="1:17" x14ac:dyDescent="0.25">
      <c r="A314" s="7" t="s">
        <v>411</v>
      </c>
      <c r="B314" s="3">
        <v>45984</v>
      </c>
      <c r="C314" s="2" t="s">
        <v>860</v>
      </c>
      <c r="D314" s="2" t="s">
        <v>1372</v>
      </c>
      <c r="E314" s="3">
        <v>38505</v>
      </c>
      <c r="F314" s="2" t="s">
        <v>129</v>
      </c>
      <c r="G314" s="2" t="s">
        <v>129</v>
      </c>
      <c r="H314" s="2" t="s">
        <v>147</v>
      </c>
      <c r="I314" s="2" t="s">
        <v>1049</v>
      </c>
      <c r="J314" s="2" t="s">
        <v>1050</v>
      </c>
      <c r="K314" s="2" t="s">
        <v>1558</v>
      </c>
      <c r="L314" s="2" t="s">
        <v>1568</v>
      </c>
      <c r="M314" s="5" t="s">
        <v>1571</v>
      </c>
      <c r="N314" s="8" t="s">
        <v>1578</v>
      </c>
      <c r="O314" s="2">
        <f ca="1">DATEDIF(Addmisson[[#This Row],[Student_DOB]],TODAY(),"y")</f>
        <v>21</v>
      </c>
      <c r="P314" s="2" t="str">
        <f>TEXT(Addmisson[[#This Row],[Admission_Date]],"mmmm")</f>
        <v>November</v>
      </c>
      <c r="Q314" s="2">
        <f>YEAR(Addmisson[[#This Row],[Admission_Date]])</f>
        <v>2025</v>
      </c>
    </row>
    <row r="315" spans="1:17" x14ac:dyDescent="0.25">
      <c r="A315" s="7" t="s">
        <v>412</v>
      </c>
      <c r="B315" s="3">
        <v>45985</v>
      </c>
      <c r="C315" s="2" t="s">
        <v>861</v>
      </c>
      <c r="D315" s="2" t="s">
        <v>1373</v>
      </c>
      <c r="E315" s="3">
        <v>38066</v>
      </c>
      <c r="F315" s="2" t="s">
        <v>27</v>
      </c>
      <c r="G315" s="2" t="s">
        <v>27</v>
      </c>
      <c r="H315" s="2" t="s">
        <v>131</v>
      </c>
      <c r="I315" s="2" t="s">
        <v>1051</v>
      </c>
      <c r="J315" s="2" t="s">
        <v>1052</v>
      </c>
      <c r="K315" s="2" t="s">
        <v>1559</v>
      </c>
      <c r="L315" s="2" t="s">
        <v>1568</v>
      </c>
      <c r="M315" s="5" t="s">
        <v>1572</v>
      </c>
      <c r="N315" s="8" t="s">
        <v>1578</v>
      </c>
      <c r="O315" s="2">
        <f ca="1">DATEDIF(Addmisson[[#This Row],[Student_DOB]],TODAY(),"y")</f>
        <v>22</v>
      </c>
      <c r="P315" s="2" t="str">
        <f>TEXT(Addmisson[[#This Row],[Admission_Date]],"mmmm")</f>
        <v>November</v>
      </c>
      <c r="Q315" s="2">
        <f>YEAR(Addmisson[[#This Row],[Admission_Date]])</f>
        <v>2025</v>
      </c>
    </row>
    <row r="316" spans="1:17" x14ac:dyDescent="0.25">
      <c r="A316" s="7" t="s">
        <v>413</v>
      </c>
      <c r="B316" s="3">
        <v>45986</v>
      </c>
      <c r="C316" s="2" t="s">
        <v>862</v>
      </c>
      <c r="D316" s="2" t="s">
        <v>1374</v>
      </c>
      <c r="E316" s="3">
        <v>38667</v>
      </c>
      <c r="F316" s="2" t="s">
        <v>127</v>
      </c>
      <c r="G316" s="2" t="s">
        <v>127</v>
      </c>
      <c r="H316" s="2" t="s">
        <v>146</v>
      </c>
      <c r="I316" s="2" t="s">
        <v>1053</v>
      </c>
      <c r="J316" s="2" t="s">
        <v>1052</v>
      </c>
      <c r="K316" s="2" t="s">
        <v>1560</v>
      </c>
      <c r="L316" s="2" t="s">
        <v>1568</v>
      </c>
      <c r="M316" s="5" t="s">
        <v>1573</v>
      </c>
      <c r="N316" s="8" t="s">
        <v>1578</v>
      </c>
      <c r="O316" s="2">
        <f ca="1">DATEDIF(Addmisson[[#This Row],[Student_DOB]],TODAY(),"y")</f>
        <v>20</v>
      </c>
      <c r="P316" s="2" t="str">
        <f>TEXT(Addmisson[[#This Row],[Admission_Date]],"mmmm")</f>
        <v>November</v>
      </c>
      <c r="Q316" s="2">
        <f>YEAR(Addmisson[[#This Row],[Admission_Date]])</f>
        <v>2025</v>
      </c>
    </row>
    <row r="317" spans="1:17" x14ac:dyDescent="0.25">
      <c r="A317" s="7" t="s">
        <v>414</v>
      </c>
      <c r="B317" s="3">
        <v>45987</v>
      </c>
      <c r="C317" s="2" t="s">
        <v>863</v>
      </c>
      <c r="D317" s="2" t="s">
        <v>1375</v>
      </c>
      <c r="E317" s="3">
        <v>38347</v>
      </c>
      <c r="F317" s="2" t="s">
        <v>142</v>
      </c>
      <c r="G317" s="2" t="s">
        <v>142</v>
      </c>
      <c r="H317" s="2" t="s">
        <v>142</v>
      </c>
      <c r="I317" s="2" t="s">
        <v>1054</v>
      </c>
      <c r="J317" s="2" t="s">
        <v>1052</v>
      </c>
      <c r="K317" s="2" t="s">
        <v>1561</v>
      </c>
      <c r="L317" s="2" t="s">
        <v>1568</v>
      </c>
      <c r="M317" s="5" t="s">
        <v>1570</v>
      </c>
      <c r="N317" s="8" t="s">
        <v>1578</v>
      </c>
      <c r="O317" s="2">
        <f ca="1">DATEDIF(Addmisson[[#This Row],[Student_DOB]],TODAY(),"y")</f>
        <v>21</v>
      </c>
      <c r="P317" s="2" t="str">
        <f>TEXT(Addmisson[[#This Row],[Admission_Date]],"mmmm")</f>
        <v>November</v>
      </c>
      <c r="Q317" s="2">
        <f>YEAR(Addmisson[[#This Row],[Admission_Date]])</f>
        <v>2025</v>
      </c>
    </row>
    <row r="318" spans="1:17" x14ac:dyDescent="0.25">
      <c r="A318" s="7" t="s">
        <v>415</v>
      </c>
      <c r="B318" s="3">
        <v>45988</v>
      </c>
      <c r="C318" s="2" t="s">
        <v>864</v>
      </c>
      <c r="D318" s="2" t="s">
        <v>1376</v>
      </c>
      <c r="E318" s="3">
        <v>37992</v>
      </c>
      <c r="F318" s="2" t="s">
        <v>129</v>
      </c>
      <c r="G318" s="2" t="s">
        <v>129</v>
      </c>
      <c r="H318" s="2" t="s">
        <v>130</v>
      </c>
      <c r="I318" s="2" t="s">
        <v>1055</v>
      </c>
      <c r="J318" s="2" t="s">
        <v>1055</v>
      </c>
      <c r="K318" s="2" t="s">
        <v>1562</v>
      </c>
      <c r="L318" s="2" t="s">
        <v>1568</v>
      </c>
      <c r="M318" s="5" t="s">
        <v>1575</v>
      </c>
      <c r="N318" s="8" t="s">
        <v>1578</v>
      </c>
      <c r="O318" s="2">
        <f ca="1">DATEDIF(Addmisson[[#This Row],[Student_DOB]],TODAY(),"y")</f>
        <v>22</v>
      </c>
      <c r="P318" s="2" t="str">
        <f>TEXT(Addmisson[[#This Row],[Admission_Date]],"mmmm")</f>
        <v>November</v>
      </c>
      <c r="Q318" s="2">
        <f>YEAR(Addmisson[[#This Row],[Admission_Date]])</f>
        <v>2025</v>
      </c>
    </row>
    <row r="319" spans="1:17" x14ac:dyDescent="0.25">
      <c r="A319" s="7" t="s">
        <v>416</v>
      </c>
      <c r="B319" s="3">
        <v>45989</v>
      </c>
      <c r="C319" s="2" t="s">
        <v>865</v>
      </c>
      <c r="D319" s="2" t="s">
        <v>1377</v>
      </c>
      <c r="E319" s="3">
        <v>39559</v>
      </c>
      <c r="F319" s="2" t="s">
        <v>127</v>
      </c>
      <c r="G319" s="2" t="s">
        <v>127</v>
      </c>
      <c r="H319" s="2" t="s">
        <v>128</v>
      </c>
      <c r="I319" s="2" t="s">
        <v>16</v>
      </c>
      <c r="J319" s="2" t="s">
        <v>1056</v>
      </c>
      <c r="K319" s="2" t="s">
        <v>1563</v>
      </c>
      <c r="L319" s="2" t="s">
        <v>1568</v>
      </c>
      <c r="M319" s="5" t="s">
        <v>1571</v>
      </c>
      <c r="N319" s="8" t="s">
        <v>1578</v>
      </c>
      <c r="O319" s="2">
        <f ca="1">DATEDIF(Addmisson[[#This Row],[Student_DOB]],TODAY(),"y")</f>
        <v>18</v>
      </c>
      <c r="P319" s="2" t="str">
        <f>TEXT(Addmisson[[#This Row],[Admission_Date]],"mmmm")</f>
        <v>November</v>
      </c>
      <c r="Q319" s="2">
        <f>YEAR(Addmisson[[#This Row],[Admission_Date]])</f>
        <v>2025</v>
      </c>
    </row>
    <row r="320" spans="1:17" x14ac:dyDescent="0.25">
      <c r="A320" s="7" t="s">
        <v>417</v>
      </c>
      <c r="B320" s="3">
        <v>45990</v>
      </c>
      <c r="C320" s="2" t="s">
        <v>866</v>
      </c>
      <c r="D320" s="2" t="s">
        <v>1378</v>
      </c>
      <c r="E320" s="3">
        <v>38881</v>
      </c>
      <c r="F320" s="2" t="s">
        <v>148</v>
      </c>
      <c r="G320" s="2" t="s">
        <v>148</v>
      </c>
      <c r="H320" s="2" t="s">
        <v>148</v>
      </c>
      <c r="I320" s="2" t="s">
        <v>1057</v>
      </c>
      <c r="J320" s="2" t="s">
        <v>1058</v>
      </c>
      <c r="K320" s="2" t="s">
        <v>1564</v>
      </c>
      <c r="L320" s="2" t="s">
        <v>1568</v>
      </c>
      <c r="M320" s="5" t="s">
        <v>1572</v>
      </c>
      <c r="N320" s="8" t="s">
        <v>1578</v>
      </c>
      <c r="O320" s="2">
        <f ca="1">DATEDIF(Addmisson[[#This Row],[Student_DOB]],TODAY(),"y")</f>
        <v>20</v>
      </c>
      <c r="P320" s="2" t="str">
        <f>TEXT(Addmisson[[#This Row],[Admission_Date]],"mmmm")</f>
        <v>November</v>
      </c>
      <c r="Q320" s="2">
        <f>YEAR(Addmisson[[#This Row],[Admission_Date]])</f>
        <v>2025</v>
      </c>
    </row>
    <row r="321" spans="1:17" x14ac:dyDescent="0.25">
      <c r="A321" s="7" t="s">
        <v>418</v>
      </c>
      <c r="B321" s="3">
        <v>45991</v>
      </c>
      <c r="C321" s="2" t="s">
        <v>867</v>
      </c>
      <c r="D321" s="2" t="s">
        <v>1379</v>
      </c>
      <c r="E321" s="3">
        <v>38746</v>
      </c>
      <c r="F321" s="2" t="s">
        <v>14</v>
      </c>
      <c r="G321" s="2" t="s">
        <v>14</v>
      </c>
      <c r="H321" s="2" t="s">
        <v>132</v>
      </c>
      <c r="I321" s="2" t="s">
        <v>1059</v>
      </c>
      <c r="J321" s="2" t="s">
        <v>1059</v>
      </c>
      <c r="K321" s="2" t="s">
        <v>1565</v>
      </c>
      <c r="L321" s="2" t="s">
        <v>1568</v>
      </c>
      <c r="M321" s="5" t="s">
        <v>1573</v>
      </c>
      <c r="N321" s="8" t="s">
        <v>1578</v>
      </c>
      <c r="O321" s="2">
        <f ca="1">DATEDIF(Addmisson[[#This Row],[Student_DOB]],TODAY(),"y")</f>
        <v>20</v>
      </c>
      <c r="P321" s="2" t="str">
        <f>TEXT(Addmisson[[#This Row],[Admission_Date]],"mmmm")</f>
        <v>November</v>
      </c>
      <c r="Q321" s="2">
        <f>YEAR(Addmisson[[#This Row],[Admission_Date]])</f>
        <v>2025</v>
      </c>
    </row>
    <row r="322" spans="1:17" x14ac:dyDescent="0.25">
      <c r="A322" s="7" t="s">
        <v>419</v>
      </c>
      <c r="B322" s="3">
        <v>45992</v>
      </c>
      <c r="C322" s="2" t="s">
        <v>868</v>
      </c>
      <c r="D322" s="2" t="s">
        <v>1380</v>
      </c>
      <c r="E322" s="3">
        <v>38784</v>
      </c>
      <c r="F322" s="2" t="s">
        <v>127</v>
      </c>
      <c r="G322" s="2" t="s">
        <v>127</v>
      </c>
      <c r="H322" s="2" t="s">
        <v>133</v>
      </c>
      <c r="I322" s="2" t="s">
        <v>1060</v>
      </c>
      <c r="J322" s="2" t="s">
        <v>21</v>
      </c>
      <c r="K322" s="2" t="s">
        <v>1558</v>
      </c>
      <c r="L322" s="2" t="s">
        <v>1568</v>
      </c>
      <c r="M322" s="5" t="s">
        <v>1574</v>
      </c>
      <c r="N322" s="8" t="s">
        <v>1578</v>
      </c>
      <c r="O322" s="2">
        <f ca="1">DATEDIF(Addmisson[[#This Row],[Student_DOB]],TODAY(),"y")</f>
        <v>20</v>
      </c>
      <c r="P322" s="2" t="str">
        <f>TEXT(Addmisson[[#This Row],[Admission_Date]],"mmmm")</f>
        <v>December</v>
      </c>
      <c r="Q322" s="2">
        <f>YEAR(Addmisson[[#This Row],[Admission_Date]])</f>
        <v>2025</v>
      </c>
    </row>
    <row r="323" spans="1:17" x14ac:dyDescent="0.25">
      <c r="A323" s="7" t="s">
        <v>420</v>
      </c>
      <c r="B323" s="3">
        <v>45993</v>
      </c>
      <c r="C323" s="2" t="s">
        <v>869</v>
      </c>
      <c r="D323" s="2" t="s">
        <v>1381</v>
      </c>
      <c r="E323" s="3">
        <v>38550</v>
      </c>
      <c r="F323" s="2" t="s">
        <v>138</v>
      </c>
      <c r="G323" s="2" t="s">
        <v>138</v>
      </c>
      <c r="H323" s="2" t="s">
        <v>138</v>
      </c>
      <c r="I323" s="2" t="s">
        <v>1047</v>
      </c>
      <c r="J323" s="2" t="s">
        <v>1048</v>
      </c>
      <c r="K323" s="2" t="s">
        <v>1559</v>
      </c>
      <c r="L323" s="2" t="s">
        <v>1568</v>
      </c>
      <c r="M323" s="5" t="s">
        <v>1576</v>
      </c>
      <c r="N323" s="8" t="s">
        <v>1578</v>
      </c>
      <c r="O323" s="2">
        <f ca="1">DATEDIF(Addmisson[[#This Row],[Student_DOB]],TODAY(),"y")</f>
        <v>21</v>
      </c>
      <c r="P323" s="2" t="str">
        <f>TEXT(Addmisson[[#This Row],[Admission_Date]],"mmmm")</f>
        <v>December</v>
      </c>
      <c r="Q323" s="2">
        <f>YEAR(Addmisson[[#This Row],[Admission_Date]])</f>
        <v>2025</v>
      </c>
    </row>
    <row r="324" spans="1:17" x14ac:dyDescent="0.25">
      <c r="A324" s="7" t="s">
        <v>421</v>
      </c>
      <c r="B324" s="3">
        <v>45994</v>
      </c>
      <c r="C324" s="2" t="s">
        <v>870</v>
      </c>
      <c r="D324" s="2" t="s">
        <v>1382</v>
      </c>
      <c r="E324" s="3">
        <v>38284</v>
      </c>
      <c r="F324" s="2" t="s">
        <v>127</v>
      </c>
      <c r="G324" s="2" t="s">
        <v>127</v>
      </c>
      <c r="H324" s="2" t="s">
        <v>141</v>
      </c>
      <c r="I324" s="2" t="s">
        <v>1049</v>
      </c>
      <c r="J324" s="2" t="s">
        <v>1050</v>
      </c>
      <c r="K324" s="2" t="s">
        <v>1560</v>
      </c>
      <c r="L324" s="2" t="s">
        <v>1568</v>
      </c>
      <c r="M324" s="5" t="s">
        <v>1577</v>
      </c>
      <c r="N324" s="8" t="s">
        <v>1578</v>
      </c>
      <c r="O324" s="2">
        <f ca="1">DATEDIF(Addmisson[[#This Row],[Student_DOB]],TODAY(),"y")</f>
        <v>21</v>
      </c>
      <c r="P324" s="2" t="str">
        <f>TEXT(Addmisson[[#This Row],[Admission_Date]],"mmmm")</f>
        <v>December</v>
      </c>
      <c r="Q324" s="2">
        <f>YEAR(Addmisson[[#This Row],[Admission_Date]])</f>
        <v>2025</v>
      </c>
    </row>
    <row r="325" spans="1:17" x14ac:dyDescent="0.25">
      <c r="A325" s="7" t="s">
        <v>422</v>
      </c>
      <c r="B325" s="3">
        <v>45995</v>
      </c>
      <c r="C325" s="2" t="s">
        <v>871</v>
      </c>
      <c r="D325" s="2" t="s">
        <v>1383</v>
      </c>
      <c r="E325" s="3">
        <v>38388</v>
      </c>
      <c r="F325" s="2" t="s">
        <v>138</v>
      </c>
      <c r="G325" s="2" t="s">
        <v>138</v>
      </c>
      <c r="H325" s="2" t="s">
        <v>138</v>
      </c>
      <c r="I325" s="2" t="s">
        <v>1051</v>
      </c>
      <c r="J325" s="2" t="s">
        <v>1052</v>
      </c>
      <c r="K325" s="2" t="s">
        <v>1561</v>
      </c>
      <c r="L325" s="2" t="s">
        <v>1568</v>
      </c>
      <c r="M325" s="5" t="s">
        <v>1570</v>
      </c>
      <c r="N325" s="8" t="s">
        <v>1578</v>
      </c>
      <c r="O325" s="2">
        <f ca="1">DATEDIF(Addmisson[[#This Row],[Student_DOB]],TODAY(),"y")</f>
        <v>21</v>
      </c>
      <c r="P325" s="2" t="str">
        <f>TEXT(Addmisson[[#This Row],[Admission_Date]],"mmmm")</f>
        <v>December</v>
      </c>
      <c r="Q325" s="2">
        <f>YEAR(Addmisson[[#This Row],[Admission_Date]])</f>
        <v>2025</v>
      </c>
    </row>
    <row r="326" spans="1:17" x14ac:dyDescent="0.25">
      <c r="A326" s="7" t="s">
        <v>423</v>
      </c>
      <c r="B326" s="3">
        <v>45996</v>
      </c>
      <c r="C326" s="2" t="s">
        <v>872</v>
      </c>
      <c r="D326" s="2" t="s">
        <v>1384</v>
      </c>
      <c r="E326" s="3">
        <v>38118</v>
      </c>
      <c r="F326" s="2" t="s">
        <v>127</v>
      </c>
      <c r="G326" s="2" t="s">
        <v>127</v>
      </c>
      <c r="H326" s="2" t="s">
        <v>141</v>
      </c>
      <c r="I326" s="2" t="s">
        <v>1053</v>
      </c>
      <c r="J326" s="2" t="s">
        <v>1052</v>
      </c>
      <c r="K326" s="2" t="s">
        <v>1562</v>
      </c>
      <c r="L326" s="2" t="s">
        <v>1568</v>
      </c>
      <c r="M326" s="5" t="s">
        <v>1575</v>
      </c>
      <c r="N326" s="8" t="s">
        <v>1578</v>
      </c>
      <c r="O326" s="2">
        <f ca="1">DATEDIF(Addmisson[[#This Row],[Student_DOB]],TODAY(),"y")</f>
        <v>22</v>
      </c>
      <c r="P326" s="2" t="str">
        <f>TEXT(Addmisson[[#This Row],[Admission_Date]],"mmmm")</f>
        <v>December</v>
      </c>
      <c r="Q326" s="2">
        <f>YEAR(Addmisson[[#This Row],[Admission_Date]])</f>
        <v>2025</v>
      </c>
    </row>
    <row r="327" spans="1:17" x14ac:dyDescent="0.25">
      <c r="A327" s="7" t="s">
        <v>424</v>
      </c>
      <c r="B327" s="3">
        <v>45997</v>
      </c>
      <c r="C327" s="2" t="s">
        <v>873</v>
      </c>
      <c r="D327" s="2" t="s">
        <v>1385</v>
      </c>
      <c r="E327" s="3">
        <v>38621</v>
      </c>
      <c r="F327" s="2" t="s">
        <v>129</v>
      </c>
      <c r="G327" s="2" t="s">
        <v>129</v>
      </c>
      <c r="H327" s="2" t="s">
        <v>143</v>
      </c>
      <c r="I327" s="2" t="s">
        <v>1054</v>
      </c>
      <c r="J327" s="2" t="s">
        <v>1052</v>
      </c>
      <c r="K327" s="2" t="s">
        <v>1563</v>
      </c>
      <c r="L327" s="2" t="s">
        <v>1568</v>
      </c>
      <c r="M327" s="5" t="s">
        <v>1571</v>
      </c>
      <c r="N327" s="8" t="s">
        <v>1578</v>
      </c>
      <c r="O327" s="2">
        <f ca="1">DATEDIF(Addmisson[[#This Row],[Student_DOB]],TODAY(),"y")</f>
        <v>21</v>
      </c>
      <c r="P327" s="2" t="str">
        <f>TEXT(Addmisson[[#This Row],[Admission_Date]],"mmmm")</f>
        <v>December</v>
      </c>
      <c r="Q327" s="2">
        <f>YEAR(Addmisson[[#This Row],[Admission_Date]])</f>
        <v>2025</v>
      </c>
    </row>
    <row r="328" spans="1:17" x14ac:dyDescent="0.25">
      <c r="A328" s="7" t="s">
        <v>425</v>
      </c>
      <c r="B328" s="3">
        <v>45998</v>
      </c>
      <c r="C328" s="2" t="s">
        <v>874</v>
      </c>
      <c r="D328" s="2" t="s">
        <v>1386</v>
      </c>
      <c r="E328" s="3">
        <v>38324</v>
      </c>
      <c r="F328" s="2" t="s">
        <v>14</v>
      </c>
      <c r="G328" s="2" t="s">
        <v>14</v>
      </c>
      <c r="H328" s="2" t="s">
        <v>15</v>
      </c>
      <c r="I328" s="2" t="s">
        <v>1055</v>
      </c>
      <c r="J328" s="2" t="s">
        <v>1055</v>
      </c>
      <c r="K328" s="2" t="s">
        <v>1564</v>
      </c>
      <c r="L328" s="2" t="s">
        <v>1568</v>
      </c>
      <c r="M328" s="5" t="s">
        <v>1572</v>
      </c>
      <c r="N328" s="8" t="s">
        <v>1578</v>
      </c>
      <c r="O328" s="2">
        <f ca="1">DATEDIF(Addmisson[[#This Row],[Student_DOB]],TODAY(),"y")</f>
        <v>21</v>
      </c>
      <c r="P328" s="2" t="str">
        <f>TEXT(Addmisson[[#This Row],[Admission_Date]],"mmmm")</f>
        <v>December</v>
      </c>
      <c r="Q328" s="2">
        <f>YEAR(Addmisson[[#This Row],[Admission_Date]])</f>
        <v>2025</v>
      </c>
    </row>
    <row r="329" spans="1:17" x14ac:dyDescent="0.25">
      <c r="A329" s="7" t="s">
        <v>426</v>
      </c>
      <c r="B329" s="3">
        <v>45999</v>
      </c>
      <c r="C329" s="2" t="s">
        <v>875</v>
      </c>
      <c r="D329" s="2" t="s">
        <v>1387</v>
      </c>
      <c r="E329" s="3">
        <v>38461</v>
      </c>
      <c r="F329" s="2" t="s">
        <v>145</v>
      </c>
      <c r="G329" s="2" t="s">
        <v>145</v>
      </c>
      <c r="H329" s="2" t="s">
        <v>145</v>
      </c>
      <c r="I329" s="2" t="s">
        <v>16</v>
      </c>
      <c r="J329" s="2" t="s">
        <v>1056</v>
      </c>
      <c r="K329" s="2" t="s">
        <v>1565</v>
      </c>
      <c r="L329" s="2" t="s">
        <v>1568</v>
      </c>
      <c r="M329" s="5" t="s">
        <v>1573</v>
      </c>
      <c r="N329" s="8" t="s">
        <v>1578</v>
      </c>
      <c r="O329" s="2">
        <f ca="1">DATEDIF(Addmisson[[#This Row],[Student_DOB]],TODAY(),"y")</f>
        <v>21</v>
      </c>
      <c r="P329" s="2" t="str">
        <f>TEXT(Addmisson[[#This Row],[Admission_Date]],"mmmm")</f>
        <v>December</v>
      </c>
      <c r="Q329" s="2">
        <f>YEAR(Addmisson[[#This Row],[Admission_Date]])</f>
        <v>2025</v>
      </c>
    </row>
    <row r="330" spans="1:17" x14ac:dyDescent="0.25">
      <c r="A330" s="7" t="s">
        <v>427</v>
      </c>
      <c r="B330" s="3">
        <v>46000</v>
      </c>
      <c r="C330" s="2" t="s">
        <v>876</v>
      </c>
      <c r="D330" s="2" t="s">
        <v>1388</v>
      </c>
      <c r="E330" s="3">
        <v>38214</v>
      </c>
      <c r="F330" s="2" t="s">
        <v>127</v>
      </c>
      <c r="G330" s="2" t="s">
        <v>127</v>
      </c>
      <c r="H330" s="2" t="s">
        <v>144</v>
      </c>
      <c r="I330" s="2" t="s">
        <v>1057</v>
      </c>
      <c r="J330" s="2" t="s">
        <v>1058</v>
      </c>
      <c r="K330" s="2" t="s">
        <v>1558</v>
      </c>
      <c r="L330" s="2" t="s">
        <v>1568</v>
      </c>
      <c r="M330" s="5" t="s">
        <v>1574</v>
      </c>
      <c r="N330" s="8" t="s">
        <v>1578</v>
      </c>
      <c r="O330" s="2">
        <f ca="1">DATEDIF(Addmisson[[#This Row],[Student_DOB]],TODAY(),"y")</f>
        <v>22</v>
      </c>
      <c r="P330" s="2" t="str">
        <f>TEXT(Addmisson[[#This Row],[Admission_Date]],"mmmm")</f>
        <v>December</v>
      </c>
      <c r="Q330" s="2">
        <f>YEAR(Addmisson[[#This Row],[Admission_Date]])</f>
        <v>2025</v>
      </c>
    </row>
    <row r="331" spans="1:17" x14ac:dyDescent="0.25">
      <c r="A331" s="7" t="s">
        <v>428</v>
      </c>
      <c r="B331" s="3">
        <v>46001</v>
      </c>
      <c r="C331" s="2" t="s">
        <v>877</v>
      </c>
      <c r="D331" s="2" t="s">
        <v>1389</v>
      </c>
      <c r="E331" s="3">
        <v>38663</v>
      </c>
      <c r="F331" s="2" t="s">
        <v>129</v>
      </c>
      <c r="G331" s="2" t="s">
        <v>129</v>
      </c>
      <c r="H331" s="2" t="s">
        <v>147</v>
      </c>
      <c r="I331" s="2" t="s">
        <v>1059</v>
      </c>
      <c r="J331" s="2" t="s">
        <v>1059</v>
      </c>
      <c r="K331" s="2" t="s">
        <v>1559</v>
      </c>
      <c r="L331" s="2" t="s">
        <v>1568</v>
      </c>
      <c r="M331" s="5" t="s">
        <v>1576</v>
      </c>
      <c r="N331" s="8" t="s">
        <v>1578</v>
      </c>
      <c r="O331" s="2">
        <f ca="1">DATEDIF(Addmisson[[#This Row],[Student_DOB]],TODAY(),"y")</f>
        <v>20</v>
      </c>
      <c r="P331" s="2" t="str">
        <f>TEXT(Addmisson[[#This Row],[Admission_Date]],"mmmm")</f>
        <v>December</v>
      </c>
      <c r="Q331" s="2">
        <f>YEAR(Addmisson[[#This Row],[Admission_Date]])</f>
        <v>2025</v>
      </c>
    </row>
    <row r="332" spans="1:17" x14ac:dyDescent="0.25">
      <c r="A332" s="7" t="s">
        <v>429</v>
      </c>
      <c r="B332" s="3">
        <v>46002</v>
      </c>
      <c r="C332" s="2" t="s">
        <v>878</v>
      </c>
      <c r="D332" s="2" t="s">
        <v>1390</v>
      </c>
      <c r="E332" s="3">
        <v>38039</v>
      </c>
      <c r="F332" s="2" t="s">
        <v>27</v>
      </c>
      <c r="G332" s="2" t="s">
        <v>27</v>
      </c>
      <c r="H332" s="2" t="s">
        <v>131</v>
      </c>
      <c r="I332" s="2" t="s">
        <v>1060</v>
      </c>
      <c r="J332" s="2" t="s">
        <v>21</v>
      </c>
      <c r="K332" s="2" t="s">
        <v>1560</v>
      </c>
      <c r="L332" s="2" t="s">
        <v>1568</v>
      </c>
      <c r="M332" s="5" t="s">
        <v>1577</v>
      </c>
      <c r="N332" s="8" t="s">
        <v>1578</v>
      </c>
      <c r="O332" s="2">
        <f ca="1">DATEDIF(Addmisson[[#This Row],[Student_DOB]],TODAY(),"y")</f>
        <v>22</v>
      </c>
      <c r="P332" s="2" t="str">
        <f>TEXT(Addmisson[[#This Row],[Admission_Date]],"mmmm")</f>
        <v>December</v>
      </c>
      <c r="Q332" s="2">
        <f>YEAR(Addmisson[[#This Row],[Admission_Date]])</f>
        <v>2025</v>
      </c>
    </row>
    <row r="333" spans="1:17" x14ac:dyDescent="0.25">
      <c r="A333" s="7" t="s">
        <v>430</v>
      </c>
      <c r="B333" s="3">
        <v>46003</v>
      </c>
      <c r="C333" s="2" t="s">
        <v>879</v>
      </c>
      <c r="D333" s="2" t="s">
        <v>1391</v>
      </c>
      <c r="E333" s="3">
        <v>39247</v>
      </c>
      <c r="F333" s="2" t="s">
        <v>127</v>
      </c>
      <c r="G333" s="2" t="s">
        <v>127</v>
      </c>
      <c r="H333" s="2" t="s">
        <v>146</v>
      </c>
      <c r="I333" s="2" t="s">
        <v>1047</v>
      </c>
      <c r="J333" s="2" t="s">
        <v>1048</v>
      </c>
      <c r="K333" s="2" t="s">
        <v>1561</v>
      </c>
      <c r="L333" s="2" t="s">
        <v>1568</v>
      </c>
      <c r="M333" s="5" t="s">
        <v>1570</v>
      </c>
      <c r="N333" s="8" t="s">
        <v>1578</v>
      </c>
      <c r="O333" s="2">
        <f ca="1">DATEDIF(Addmisson[[#This Row],[Student_DOB]],TODAY(),"y")</f>
        <v>19</v>
      </c>
      <c r="P333" s="2" t="str">
        <f>TEXT(Addmisson[[#This Row],[Admission_Date]],"mmmm")</f>
        <v>December</v>
      </c>
      <c r="Q333" s="2">
        <f>YEAR(Addmisson[[#This Row],[Admission_Date]])</f>
        <v>2025</v>
      </c>
    </row>
    <row r="334" spans="1:17" x14ac:dyDescent="0.25">
      <c r="A334" s="7" t="s">
        <v>431</v>
      </c>
      <c r="B334" s="3">
        <v>46004</v>
      </c>
      <c r="C334" s="2" t="s">
        <v>880</v>
      </c>
      <c r="D334" s="2" t="s">
        <v>1392</v>
      </c>
      <c r="E334" s="3">
        <v>38076</v>
      </c>
      <c r="F334" s="2" t="s">
        <v>142</v>
      </c>
      <c r="G334" s="2" t="s">
        <v>142</v>
      </c>
      <c r="H334" s="2" t="s">
        <v>142</v>
      </c>
      <c r="I334" s="2" t="s">
        <v>1049</v>
      </c>
      <c r="J334" s="2" t="s">
        <v>1050</v>
      </c>
      <c r="K334" s="2" t="s">
        <v>1562</v>
      </c>
      <c r="L334" s="2" t="s">
        <v>1568</v>
      </c>
      <c r="M334" s="5" t="s">
        <v>1575</v>
      </c>
      <c r="N334" s="8" t="s">
        <v>1578</v>
      </c>
      <c r="O334" s="2">
        <f ca="1">DATEDIF(Addmisson[[#This Row],[Student_DOB]],TODAY(),"y")</f>
        <v>22</v>
      </c>
      <c r="P334" s="2" t="str">
        <f>TEXT(Addmisson[[#This Row],[Admission_Date]],"mmmm")</f>
        <v>December</v>
      </c>
      <c r="Q334" s="2">
        <f>YEAR(Addmisson[[#This Row],[Admission_Date]])</f>
        <v>2025</v>
      </c>
    </row>
    <row r="335" spans="1:17" x14ac:dyDescent="0.25">
      <c r="A335" s="7" t="s">
        <v>432</v>
      </c>
      <c r="B335" s="3">
        <v>46005</v>
      </c>
      <c r="C335" s="2" t="s">
        <v>881</v>
      </c>
      <c r="D335" s="2" t="s">
        <v>1393</v>
      </c>
      <c r="E335" s="3">
        <v>38634</v>
      </c>
      <c r="F335" s="2" t="s">
        <v>129</v>
      </c>
      <c r="G335" s="2" t="s">
        <v>129</v>
      </c>
      <c r="H335" s="2" t="s">
        <v>130</v>
      </c>
      <c r="I335" s="2" t="s">
        <v>1051</v>
      </c>
      <c r="J335" s="2" t="s">
        <v>1052</v>
      </c>
      <c r="K335" s="2" t="s">
        <v>1563</v>
      </c>
      <c r="L335" s="2" t="s">
        <v>1568</v>
      </c>
      <c r="M335" s="5" t="s">
        <v>1571</v>
      </c>
      <c r="N335" s="8" t="s">
        <v>1578</v>
      </c>
      <c r="O335" s="2">
        <f ca="1">DATEDIF(Addmisson[[#This Row],[Student_DOB]],TODAY(),"y")</f>
        <v>21</v>
      </c>
      <c r="P335" s="2" t="str">
        <f>TEXT(Addmisson[[#This Row],[Admission_Date]],"mmmm")</f>
        <v>December</v>
      </c>
      <c r="Q335" s="2">
        <f>YEAR(Addmisson[[#This Row],[Admission_Date]])</f>
        <v>2025</v>
      </c>
    </row>
    <row r="336" spans="1:17" x14ac:dyDescent="0.25">
      <c r="A336" s="7" t="s">
        <v>433</v>
      </c>
      <c r="B336" s="3">
        <v>46006</v>
      </c>
      <c r="C336" s="2" t="s">
        <v>882</v>
      </c>
      <c r="D336" s="2" t="s">
        <v>1394</v>
      </c>
      <c r="E336" s="3">
        <v>38004</v>
      </c>
      <c r="F336" s="2" t="s">
        <v>127</v>
      </c>
      <c r="G336" s="2" t="s">
        <v>127</v>
      </c>
      <c r="H336" s="2" t="s">
        <v>128</v>
      </c>
      <c r="I336" s="2" t="s">
        <v>1053</v>
      </c>
      <c r="J336" s="2" t="s">
        <v>1052</v>
      </c>
      <c r="K336" s="2" t="s">
        <v>1564</v>
      </c>
      <c r="L336" s="2" t="s">
        <v>1568</v>
      </c>
      <c r="M336" s="5" t="s">
        <v>1572</v>
      </c>
      <c r="N336" s="8" t="s">
        <v>1578</v>
      </c>
      <c r="O336" s="2">
        <f ca="1">DATEDIF(Addmisson[[#This Row],[Student_DOB]],TODAY(),"y")</f>
        <v>22</v>
      </c>
      <c r="P336" s="2" t="str">
        <f>TEXT(Addmisson[[#This Row],[Admission_Date]],"mmmm")</f>
        <v>December</v>
      </c>
      <c r="Q336" s="2">
        <f>YEAR(Addmisson[[#This Row],[Admission_Date]])</f>
        <v>2025</v>
      </c>
    </row>
    <row r="337" spans="1:17" x14ac:dyDescent="0.25">
      <c r="A337" s="7" t="s">
        <v>434</v>
      </c>
      <c r="B337" s="3">
        <v>46007</v>
      </c>
      <c r="C337" s="2" t="s">
        <v>883</v>
      </c>
      <c r="D337" s="2" t="s">
        <v>1395</v>
      </c>
      <c r="E337" s="3">
        <v>38497</v>
      </c>
      <c r="F337" s="2" t="s">
        <v>148</v>
      </c>
      <c r="G337" s="2" t="s">
        <v>148</v>
      </c>
      <c r="H337" s="2" t="s">
        <v>148</v>
      </c>
      <c r="I337" s="2" t="s">
        <v>1054</v>
      </c>
      <c r="J337" s="2" t="s">
        <v>1052</v>
      </c>
      <c r="K337" s="2" t="s">
        <v>1565</v>
      </c>
      <c r="L337" s="2" t="s">
        <v>1568</v>
      </c>
      <c r="M337" s="5" t="s">
        <v>1573</v>
      </c>
      <c r="N337" s="8" t="s">
        <v>1578</v>
      </c>
      <c r="O337" s="2">
        <f ca="1">DATEDIF(Addmisson[[#This Row],[Student_DOB]],TODAY(),"y")</f>
        <v>21</v>
      </c>
      <c r="P337" s="2" t="str">
        <f>TEXT(Addmisson[[#This Row],[Admission_Date]],"mmmm")</f>
        <v>December</v>
      </c>
      <c r="Q337" s="2">
        <f>YEAR(Addmisson[[#This Row],[Admission_Date]])</f>
        <v>2025</v>
      </c>
    </row>
    <row r="338" spans="1:17" x14ac:dyDescent="0.25">
      <c r="A338" s="7" t="s">
        <v>435</v>
      </c>
      <c r="B338" s="3">
        <v>46008</v>
      </c>
      <c r="C338" s="2" t="s">
        <v>884</v>
      </c>
      <c r="D338" s="2" t="s">
        <v>1396</v>
      </c>
      <c r="E338" s="3">
        <v>38170</v>
      </c>
      <c r="F338" s="2" t="s">
        <v>14</v>
      </c>
      <c r="G338" s="2" t="s">
        <v>14</v>
      </c>
      <c r="H338" s="2" t="s">
        <v>132</v>
      </c>
      <c r="I338" s="2" t="s">
        <v>1055</v>
      </c>
      <c r="J338" s="2" t="s">
        <v>1055</v>
      </c>
      <c r="K338" s="2" t="s">
        <v>1558</v>
      </c>
      <c r="L338" s="2" t="s">
        <v>1568</v>
      </c>
      <c r="M338" s="5" t="s">
        <v>1570</v>
      </c>
      <c r="N338" s="8" t="s">
        <v>1578</v>
      </c>
      <c r="O338" s="2">
        <f ca="1">DATEDIF(Addmisson[[#This Row],[Student_DOB]],TODAY(),"y")</f>
        <v>22</v>
      </c>
      <c r="P338" s="2" t="str">
        <f>TEXT(Addmisson[[#This Row],[Admission_Date]],"mmmm")</f>
        <v>December</v>
      </c>
      <c r="Q338" s="2">
        <f>YEAR(Addmisson[[#This Row],[Admission_Date]])</f>
        <v>2025</v>
      </c>
    </row>
    <row r="339" spans="1:17" x14ac:dyDescent="0.25">
      <c r="A339" s="7" t="s">
        <v>436</v>
      </c>
      <c r="B339" s="3">
        <v>46009</v>
      </c>
      <c r="C339" s="2" t="s">
        <v>885</v>
      </c>
      <c r="D339" s="2" t="s">
        <v>1397</v>
      </c>
      <c r="E339" s="3">
        <v>38702</v>
      </c>
      <c r="F339" s="2" t="s">
        <v>127</v>
      </c>
      <c r="G339" s="2" t="s">
        <v>127</v>
      </c>
      <c r="H339" s="2" t="s">
        <v>133</v>
      </c>
      <c r="I339" s="2" t="s">
        <v>16</v>
      </c>
      <c r="J339" s="2" t="s">
        <v>1056</v>
      </c>
      <c r="K339" s="2" t="s">
        <v>1559</v>
      </c>
      <c r="L339" s="2" t="s">
        <v>1568</v>
      </c>
      <c r="M339" s="5" t="s">
        <v>1575</v>
      </c>
      <c r="N339" s="8" t="s">
        <v>1578</v>
      </c>
      <c r="O339" s="2">
        <f ca="1">DATEDIF(Addmisson[[#This Row],[Student_DOB]],TODAY(),"y")</f>
        <v>20</v>
      </c>
      <c r="P339" s="2" t="str">
        <f>TEXT(Addmisson[[#This Row],[Admission_Date]],"mmmm")</f>
        <v>December</v>
      </c>
      <c r="Q339" s="2">
        <f>YEAR(Addmisson[[#This Row],[Admission_Date]])</f>
        <v>2025</v>
      </c>
    </row>
    <row r="340" spans="1:17" x14ac:dyDescent="0.25">
      <c r="A340" s="7" t="s">
        <v>437</v>
      </c>
      <c r="B340" s="3">
        <v>46010</v>
      </c>
      <c r="C340" s="2" t="s">
        <v>886</v>
      </c>
      <c r="D340" s="2" t="s">
        <v>1398</v>
      </c>
      <c r="E340" s="3">
        <v>38104</v>
      </c>
      <c r="F340" s="2" t="s">
        <v>138</v>
      </c>
      <c r="G340" s="2" t="s">
        <v>138</v>
      </c>
      <c r="H340" s="2" t="s">
        <v>138</v>
      </c>
      <c r="I340" s="2" t="s">
        <v>1057</v>
      </c>
      <c r="J340" s="2" t="s">
        <v>1058</v>
      </c>
      <c r="K340" s="2" t="s">
        <v>1560</v>
      </c>
      <c r="L340" s="2" t="s">
        <v>1568</v>
      </c>
      <c r="M340" s="5" t="s">
        <v>1571</v>
      </c>
      <c r="N340" s="8" t="s">
        <v>1578</v>
      </c>
      <c r="O340" s="2">
        <f ca="1">DATEDIF(Addmisson[[#This Row],[Student_DOB]],TODAY(),"y")</f>
        <v>22</v>
      </c>
      <c r="P340" s="2" t="str">
        <f>TEXT(Addmisson[[#This Row],[Admission_Date]],"mmmm")</f>
        <v>December</v>
      </c>
      <c r="Q340" s="2">
        <f>YEAR(Addmisson[[#This Row],[Admission_Date]])</f>
        <v>2025</v>
      </c>
    </row>
    <row r="341" spans="1:17" x14ac:dyDescent="0.25">
      <c r="A341" s="7" t="s">
        <v>438</v>
      </c>
      <c r="B341" s="3">
        <v>46011</v>
      </c>
      <c r="C341" s="2" t="s">
        <v>887</v>
      </c>
      <c r="D341" s="2" t="s">
        <v>1399</v>
      </c>
      <c r="E341" s="3">
        <v>38603</v>
      </c>
      <c r="F341" s="2" t="s">
        <v>127</v>
      </c>
      <c r="G341" s="2" t="s">
        <v>127</v>
      </c>
      <c r="H341" s="2" t="s">
        <v>141</v>
      </c>
      <c r="I341" s="2" t="s">
        <v>1059</v>
      </c>
      <c r="J341" s="2" t="s">
        <v>1059</v>
      </c>
      <c r="K341" s="2" t="s">
        <v>1561</v>
      </c>
      <c r="L341" s="2" t="s">
        <v>1568</v>
      </c>
      <c r="M341" s="5" t="s">
        <v>1572</v>
      </c>
      <c r="N341" s="8" t="s">
        <v>1578</v>
      </c>
      <c r="O341" s="2">
        <f ca="1">DATEDIF(Addmisson[[#This Row],[Student_DOB]],TODAY(),"y")</f>
        <v>21</v>
      </c>
      <c r="P341" s="2" t="str">
        <f>TEXT(Addmisson[[#This Row],[Admission_Date]],"mmmm")</f>
        <v>December</v>
      </c>
      <c r="Q341" s="2">
        <f>YEAR(Addmisson[[#This Row],[Admission_Date]])</f>
        <v>2025</v>
      </c>
    </row>
    <row r="342" spans="1:17" x14ac:dyDescent="0.25">
      <c r="A342" s="7" t="s">
        <v>439</v>
      </c>
      <c r="B342" s="3">
        <v>46012</v>
      </c>
      <c r="C342" s="2" t="s">
        <v>888</v>
      </c>
      <c r="D342" s="2" t="s">
        <v>1400</v>
      </c>
      <c r="E342" s="3">
        <v>38303</v>
      </c>
      <c r="F342" s="2" t="s">
        <v>129</v>
      </c>
      <c r="G342" s="2" t="s">
        <v>129</v>
      </c>
      <c r="H342" s="2" t="s">
        <v>143</v>
      </c>
      <c r="I342" s="2" t="s">
        <v>1060</v>
      </c>
      <c r="J342" s="2" t="s">
        <v>21</v>
      </c>
      <c r="K342" s="2" t="s">
        <v>1562</v>
      </c>
      <c r="L342" s="2" t="s">
        <v>1568</v>
      </c>
      <c r="M342" s="5" t="s">
        <v>1573</v>
      </c>
      <c r="N342" s="8" t="s">
        <v>1578</v>
      </c>
      <c r="O342" s="2">
        <f ca="1">DATEDIF(Addmisson[[#This Row],[Student_DOB]],TODAY(),"y")</f>
        <v>21</v>
      </c>
      <c r="P342" s="2" t="str">
        <f>TEXT(Addmisson[[#This Row],[Admission_Date]],"mmmm")</f>
        <v>December</v>
      </c>
      <c r="Q342" s="2">
        <f>YEAR(Addmisson[[#This Row],[Admission_Date]])</f>
        <v>2025</v>
      </c>
    </row>
    <row r="343" spans="1:17" x14ac:dyDescent="0.25">
      <c r="A343" s="7" t="s">
        <v>440</v>
      </c>
      <c r="B343" s="3">
        <v>46013</v>
      </c>
      <c r="C343" s="2" t="s">
        <v>889</v>
      </c>
      <c r="D343" s="2" t="s">
        <v>1401</v>
      </c>
      <c r="E343" s="3">
        <v>38434</v>
      </c>
      <c r="F343" s="2" t="s">
        <v>14</v>
      </c>
      <c r="G343" s="2" t="s">
        <v>14</v>
      </c>
      <c r="H343" s="2" t="s">
        <v>15</v>
      </c>
      <c r="I343" s="2" t="s">
        <v>1047</v>
      </c>
      <c r="J343" s="2" t="s">
        <v>1048</v>
      </c>
      <c r="K343" s="2" t="s">
        <v>1563</v>
      </c>
      <c r="L343" s="2" t="s">
        <v>1568</v>
      </c>
      <c r="M343" s="5" t="s">
        <v>1574</v>
      </c>
      <c r="N343" s="8" t="s">
        <v>1578</v>
      </c>
      <c r="O343" s="2">
        <f ca="1">DATEDIF(Addmisson[[#This Row],[Student_DOB]],TODAY(),"y")</f>
        <v>21</v>
      </c>
      <c r="P343" s="2" t="str">
        <f>TEXT(Addmisson[[#This Row],[Admission_Date]],"mmmm")</f>
        <v>December</v>
      </c>
      <c r="Q343" s="2">
        <f>YEAR(Addmisson[[#This Row],[Admission_Date]])</f>
        <v>2025</v>
      </c>
    </row>
    <row r="344" spans="1:17" x14ac:dyDescent="0.25">
      <c r="A344" s="7" t="s">
        <v>441</v>
      </c>
      <c r="B344" s="3">
        <v>46014</v>
      </c>
      <c r="C344" s="2" t="s">
        <v>890</v>
      </c>
      <c r="D344" s="2" t="s">
        <v>1402</v>
      </c>
      <c r="E344" s="3">
        <v>38111</v>
      </c>
      <c r="F344" s="2" t="s">
        <v>145</v>
      </c>
      <c r="G344" s="2" t="s">
        <v>145</v>
      </c>
      <c r="H344" s="2" t="s">
        <v>145</v>
      </c>
      <c r="I344" s="2" t="s">
        <v>1049</v>
      </c>
      <c r="J344" s="2" t="s">
        <v>1050</v>
      </c>
      <c r="K344" s="2" t="s">
        <v>1564</v>
      </c>
      <c r="L344" s="2" t="s">
        <v>1568</v>
      </c>
      <c r="M344" s="5" t="s">
        <v>1576</v>
      </c>
      <c r="N344" s="8" t="s">
        <v>1578</v>
      </c>
      <c r="O344" s="2">
        <f ca="1">DATEDIF(Addmisson[[#This Row],[Student_DOB]],TODAY(),"y")</f>
        <v>22</v>
      </c>
      <c r="P344" s="2" t="str">
        <f>TEXT(Addmisson[[#This Row],[Admission_Date]],"mmmm")</f>
        <v>December</v>
      </c>
      <c r="Q344" s="2">
        <f>YEAR(Addmisson[[#This Row],[Admission_Date]])</f>
        <v>2025</v>
      </c>
    </row>
    <row r="345" spans="1:17" x14ac:dyDescent="0.25">
      <c r="A345" s="7" t="s">
        <v>442</v>
      </c>
      <c r="B345" s="3">
        <v>46015</v>
      </c>
      <c r="C345" s="2" t="s">
        <v>891</v>
      </c>
      <c r="D345" s="2" t="s">
        <v>1403</v>
      </c>
      <c r="E345" s="3">
        <v>39680</v>
      </c>
      <c r="F345" s="2" t="s">
        <v>127</v>
      </c>
      <c r="G345" s="2" t="s">
        <v>127</v>
      </c>
      <c r="H345" s="2" t="s">
        <v>144</v>
      </c>
      <c r="I345" s="2" t="s">
        <v>1051</v>
      </c>
      <c r="J345" s="2" t="s">
        <v>1052</v>
      </c>
      <c r="K345" s="2" t="s">
        <v>1565</v>
      </c>
      <c r="L345" s="2" t="s">
        <v>1568</v>
      </c>
      <c r="M345" s="5" t="s">
        <v>1577</v>
      </c>
      <c r="N345" s="8" t="s">
        <v>1578</v>
      </c>
      <c r="O345" s="2">
        <f ca="1">DATEDIF(Addmisson[[#This Row],[Student_DOB]],TODAY(),"y")</f>
        <v>18</v>
      </c>
      <c r="P345" s="2" t="str">
        <f>TEXT(Addmisson[[#This Row],[Admission_Date]],"mmmm")</f>
        <v>December</v>
      </c>
      <c r="Q345" s="2">
        <f>YEAR(Addmisson[[#This Row],[Admission_Date]])</f>
        <v>2025</v>
      </c>
    </row>
    <row r="346" spans="1:17" x14ac:dyDescent="0.25">
      <c r="A346" s="7" t="s">
        <v>443</v>
      </c>
      <c r="B346" s="3">
        <v>46016</v>
      </c>
      <c r="C346" s="2" t="s">
        <v>892</v>
      </c>
      <c r="D346" s="2" t="s">
        <v>1404</v>
      </c>
      <c r="E346" s="3">
        <v>38017</v>
      </c>
      <c r="F346" s="2" t="s">
        <v>129</v>
      </c>
      <c r="G346" s="2" t="s">
        <v>129</v>
      </c>
      <c r="H346" s="2" t="s">
        <v>147</v>
      </c>
      <c r="I346" s="2" t="s">
        <v>1053</v>
      </c>
      <c r="J346" s="2" t="s">
        <v>1052</v>
      </c>
      <c r="K346" s="2" t="s">
        <v>1558</v>
      </c>
      <c r="L346" s="2" t="s">
        <v>1568</v>
      </c>
      <c r="M346" s="5" t="s">
        <v>1570</v>
      </c>
      <c r="N346" s="8" t="s">
        <v>1578</v>
      </c>
      <c r="O346" s="2">
        <f ca="1">DATEDIF(Addmisson[[#This Row],[Student_DOB]],TODAY(),"y")</f>
        <v>22</v>
      </c>
      <c r="P346" s="2" t="str">
        <f>TEXT(Addmisson[[#This Row],[Admission_Date]],"mmmm")</f>
        <v>December</v>
      </c>
      <c r="Q346" s="2">
        <f>YEAR(Addmisson[[#This Row],[Admission_Date]])</f>
        <v>2025</v>
      </c>
    </row>
    <row r="347" spans="1:17" x14ac:dyDescent="0.25">
      <c r="A347" s="7" t="s">
        <v>444</v>
      </c>
      <c r="B347" s="3">
        <v>46017</v>
      </c>
      <c r="C347" s="2" t="s">
        <v>893</v>
      </c>
      <c r="D347" s="2" t="s">
        <v>1405</v>
      </c>
      <c r="E347" s="3">
        <v>38513</v>
      </c>
      <c r="F347" s="2" t="s">
        <v>27</v>
      </c>
      <c r="G347" s="2" t="s">
        <v>27</v>
      </c>
      <c r="H347" s="2" t="s">
        <v>131</v>
      </c>
      <c r="I347" s="2" t="s">
        <v>1054</v>
      </c>
      <c r="J347" s="2" t="s">
        <v>1052</v>
      </c>
      <c r="K347" s="2" t="s">
        <v>1559</v>
      </c>
      <c r="L347" s="2" t="s">
        <v>1568</v>
      </c>
      <c r="M347" s="5" t="s">
        <v>1575</v>
      </c>
      <c r="N347" s="8" t="s">
        <v>1578</v>
      </c>
      <c r="O347" s="2">
        <f ca="1">DATEDIF(Addmisson[[#This Row],[Student_DOB]],TODAY(),"y")</f>
        <v>21</v>
      </c>
      <c r="P347" s="2" t="str">
        <f>TEXT(Addmisson[[#This Row],[Admission_Date]],"mmmm")</f>
        <v>December</v>
      </c>
      <c r="Q347" s="2">
        <f>YEAR(Addmisson[[#This Row],[Admission_Date]])</f>
        <v>2025</v>
      </c>
    </row>
    <row r="348" spans="1:17" x14ac:dyDescent="0.25">
      <c r="A348" s="7" t="s">
        <v>445</v>
      </c>
      <c r="B348" s="3">
        <v>46018</v>
      </c>
      <c r="C348" s="2" t="s">
        <v>894</v>
      </c>
      <c r="D348" s="2" t="s">
        <v>1406</v>
      </c>
      <c r="E348" s="3">
        <v>38277</v>
      </c>
      <c r="F348" s="2" t="s">
        <v>127</v>
      </c>
      <c r="G348" s="2" t="s">
        <v>127</v>
      </c>
      <c r="H348" s="2" t="s">
        <v>146</v>
      </c>
      <c r="I348" s="2" t="s">
        <v>1055</v>
      </c>
      <c r="J348" s="2" t="s">
        <v>1055</v>
      </c>
      <c r="K348" s="2" t="s">
        <v>1560</v>
      </c>
      <c r="L348" s="2" t="s">
        <v>1568</v>
      </c>
      <c r="M348" s="5" t="s">
        <v>1571</v>
      </c>
      <c r="N348" s="8" t="s">
        <v>1578</v>
      </c>
      <c r="O348" s="2">
        <f ca="1">DATEDIF(Addmisson[[#This Row],[Student_DOB]],TODAY(),"y")</f>
        <v>22</v>
      </c>
      <c r="P348" s="2" t="str">
        <f>TEXT(Addmisson[[#This Row],[Admission_Date]],"mmmm")</f>
        <v>December</v>
      </c>
      <c r="Q348" s="2">
        <f>YEAR(Addmisson[[#This Row],[Admission_Date]])</f>
        <v>2025</v>
      </c>
    </row>
    <row r="349" spans="1:17" x14ac:dyDescent="0.25">
      <c r="A349" s="7" t="s">
        <v>446</v>
      </c>
      <c r="B349" s="3">
        <v>46019</v>
      </c>
      <c r="C349" s="2" t="s">
        <v>895</v>
      </c>
      <c r="D349" s="2" t="s">
        <v>1407</v>
      </c>
      <c r="E349" s="3">
        <v>38411</v>
      </c>
      <c r="F349" s="2" t="s">
        <v>142</v>
      </c>
      <c r="G349" s="2" t="s">
        <v>142</v>
      </c>
      <c r="H349" s="2" t="s">
        <v>142</v>
      </c>
      <c r="I349" s="2" t="s">
        <v>16</v>
      </c>
      <c r="J349" s="2" t="s">
        <v>1056</v>
      </c>
      <c r="K349" s="2" t="s">
        <v>1561</v>
      </c>
      <c r="L349" s="2" t="s">
        <v>1568</v>
      </c>
      <c r="M349" s="5" t="s">
        <v>1572</v>
      </c>
      <c r="N349" s="8" t="s">
        <v>1578</v>
      </c>
      <c r="O349" s="2">
        <f ca="1">DATEDIF(Addmisson[[#This Row],[Student_DOB]],TODAY(),"y")</f>
        <v>21</v>
      </c>
      <c r="P349" s="2" t="str">
        <f>TEXT(Addmisson[[#This Row],[Admission_Date]],"mmmm")</f>
        <v>December</v>
      </c>
      <c r="Q349" s="2">
        <f>YEAR(Addmisson[[#This Row],[Admission_Date]])</f>
        <v>2025</v>
      </c>
    </row>
    <row r="350" spans="1:17" x14ac:dyDescent="0.25">
      <c r="A350" s="7" t="s">
        <v>447</v>
      </c>
      <c r="B350" s="3">
        <v>46020</v>
      </c>
      <c r="C350" s="2" t="s">
        <v>896</v>
      </c>
      <c r="D350" s="2" t="s">
        <v>1408</v>
      </c>
      <c r="E350" s="3">
        <v>38083</v>
      </c>
      <c r="F350" s="2" t="s">
        <v>129</v>
      </c>
      <c r="G350" s="2" t="s">
        <v>129</v>
      </c>
      <c r="H350" s="2" t="s">
        <v>130</v>
      </c>
      <c r="I350" s="2" t="s">
        <v>1057</v>
      </c>
      <c r="J350" s="2" t="s">
        <v>1058</v>
      </c>
      <c r="K350" s="2" t="s">
        <v>1562</v>
      </c>
      <c r="L350" s="2" t="s">
        <v>1568</v>
      </c>
      <c r="M350" s="5" t="s">
        <v>1573</v>
      </c>
      <c r="N350" s="8" t="s">
        <v>1578</v>
      </c>
      <c r="O350" s="2">
        <f ca="1">DATEDIF(Addmisson[[#This Row],[Student_DOB]],TODAY(),"y")</f>
        <v>22</v>
      </c>
      <c r="P350" s="2" t="str">
        <f>TEXT(Addmisson[[#This Row],[Admission_Date]],"mmmm")</f>
        <v>December</v>
      </c>
      <c r="Q350" s="2">
        <f>YEAR(Addmisson[[#This Row],[Admission_Date]])</f>
        <v>2025</v>
      </c>
    </row>
    <row r="351" spans="1:17" x14ac:dyDescent="0.25">
      <c r="A351" s="7" t="s">
        <v>448</v>
      </c>
      <c r="B351" s="3">
        <v>46021</v>
      </c>
      <c r="C351" s="2" t="s">
        <v>897</v>
      </c>
      <c r="D351" s="2" t="s">
        <v>1409</v>
      </c>
      <c r="E351" s="3">
        <v>38610</v>
      </c>
      <c r="F351" s="2" t="s">
        <v>127</v>
      </c>
      <c r="G351" s="2" t="s">
        <v>127</v>
      </c>
      <c r="H351" s="2" t="s">
        <v>128</v>
      </c>
      <c r="I351" s="2" t="s">
        <v>1059</v>
      </c>
      <c r="J351" s="2" t="s">
        <v>1059</v>
      </c>
      <c r="K351" s="2" t="s">
        <v>1563</v>
      </c>
      <c r="L351" s="2" t="s">
        <v>1567</v>
      </c>
      <c r="M351" s="5" t="s">
        <v>1574</v>
      </c>
      <c r="N351" s="8" t="s">
        <v>1578</v>
      </c>
      <c r="O351" s="2">
        <f ca="1">DATEDIF(Addmisson[[#This Row],[Student_DOB]],TODAY(),"y")</f>
        <v>21</v>
      </c>
      <c r="P351" s="2" t="str">
        <f>TEXT(Addmisson[[#This Row],[Admission_Date]],"mmmm")</f>
        <v>December</v>
      </c>
      <c r="Q351" s="2">
        <f>YEAR(Addmisson[[#This Row],[Admission_Date]])</f>
        <v>2025</v>
      </c>
    </row>
    <row r="352" spans="1:17" x14ac:dyDescent="0.25">
      <c r="A352" s="7" t="s">
        <v>449</v>
      </c>
      <c r="B352" s="3">
        <v>46022</v>
      </c>
      <c r="C352" s="2" t="s">
        <v>898</v>
      </c>
      <c r="D352" s="2" t="s">
        <v>1410</v>
      </c>
      <c r="E352" s="3">
        <v>38345</v>
      </c>
      <c r="F352" s="2" t="s">
        <v>148</v>
      </c>
      <c r="G352" s="2" t="s">
        <v>148</v>
      </c>
      <c r="H352" s="2" t="s">
        <v>148</v>
      </c>
      <c r="I352" s="2" t="s">
        <v>1060</v>
      </c>
      <c r="J352" s="2" t="s">
        <v>21</v>
      </c>
      <c r="K352" s="2" t="s">
        <v>1564</v>
      </c>
      <c r="L352" s="2" t="s">
        <v>1567</v>
      </c>
      <c r="M352" s="5" t="s">
        <v>1576</v>
      </c>
      <c r="N352" s="8" t="s">
        <v>1578</v>
      </c>
      <c r="O352" s="2">
        <f ca="1">DATEDIF(Addmisson[[#This Row],[Student_DOB]],TODAY(),"y")</f>
        <v>21</v>
      </c>
      <c r="P352" s="2" t="str">
        <f>TEXT(Addmisson[[#This Row],[Admission_Date]],"mmmm")</f>
        <v>December</v>
      </c>
      <c r="Q352" s="2">
        <f>YEAR(Addmisson[[#This Row],[Admission_Date]])</f>
        <v>2025</v>
      </c>
    </row>
    <row r="353" spans="1:17" x14ac:dyDescent="0.25">
      <c r="A353" s="7" t="s">
        <v>450</v>
      </c>
      <c r="B353" s="3">
        <v>46023</v>
      </c>
      <c r="C353" s="2" t="s">
        <v>899</v>
      </c>
      <c r="D353" s="2" t="s">
        <v>1411</v>
      </c>
      <c r="E353" s="3">
        <v>38475</v>
      </c>
      <c r="F353" s="2" t="s">
        <v>14</v>
      </c>
      <c r="G353" s="2" t="s">
        <v>14</v>
      </c>
      <c r="H353" s="2" t="s">
        <v>132</v>
      </c>
      <c r="I353" s="2" t="s">
        <v>1047</v>
      </c>
      <c r="J353" s="2" t="s">
        <v>1048</v>
      </c>
      <c r="K353" s="2" t="s">
        <v>1565</v>
      </c>
      <c r="L353" s="2" t="s">
        <v>1567</v>
      </c>
      <c r="M353" s="5" t="s">
        <v>1577</v>
      </c>
      <c r="N353" s="8" t="s">
        <v>1578</v>
      </c>
      <c r="O353" s="2">
        <f ca="1">DATEDIF(Addmisson[[#This Row],[Student_DOB]],TODAY(),"y")</f>
        <v>21</v>
      </c>
      <c r="P353" s="2" t="str">
        <f>TEXT(Addmisson[[#This Row],[Admission_Date]],"mmmm")</f>
        <v>January</v>
      </c>
      <c r="Q353" s="2">
        <f>YEAR(Addmisson[[#This Row],[Admission_Date]])</f>
        <v>2026</v>
      </c>
    </row>
    <row r="354" spans="1:17" x14ac:dyDescent="0.25">
      <c r="A354" s="7" t="s">
        <v>451</v>
      </c>
      <c r="B354" s="3">
        <v>46024</v>
      </c>
      <c r="C354" s="2" t="s">
        <v>900</v>
      </c>
      <c r="D354" s="2" t="s">
        <v>1412</v>
      </c>
      <c r="E354" s="3">
        <v>38187</v>
      </c>
      <c r="F354" s="2" t="s">
        <v>127</v>
      </c>
      <c r="G354" s="2" t="s">
        <v>127</v>
      </c>
      <c r="H354" s="2" t="s">
        <v>133</v>
      </c>
      <c r="I354" s="2" t="s">
        <v>1049</v>
      </c>
      <c r="J354" s="2" t="s">
        <v>1050</v>
      </c>
      <c r="K354" s="2" t="s">
        <v>1558</v>
      </c>
      <c r="L354" s="2" t="s">
        <v>1567</v>
      </c>
      <c r="M354" s="5" t="s">
        <v>1570</v>
      </c>
      <c r="N354" s="8" t="s">
        <v>1578</v>
      </c>
      <c r="O354" s="2">
        <f ca="1">DATEDIF(Addmisson[[#This Row],[Student_DOB]],TODAY(),"y")</f>
        <v>22</v>
      </c>
      <c r="P354" s="2" t="str">
        <f>TEXT(Addmisson[[#This Row],[Admission_Date]],"mmmm")</f>
        <v>January</v>
      </c>
      <c r="Q354" s="2">
        <f>YEAR(Addmisson[[#This Row],[Admission_Date]])</f>
        <v>2026</v>
      </c>
    </row>
    <row r="355" spans="1:17" x14ac:dyDescent="0.25">
      <c r="A355" s="7" t="s">
        <v>452</v>
      </c>
      <c r="B355" s="3">
        <v>46025</v>
      </c>
      <c r="C355" s="2" t="s">
        <v>901</v>
      </c>
      <c r="D355" s="2" t="s">
        <v>1413</v>
      </c>
      <c r="E355" s="3">
        <v>38363</v>
      </c>
      <c r="F355" s="2" t="s">
        <v>138</v>
      </c>
      <c r="G355" s="2" t="s">
        <v>138</v>
      </c>
      <c r="H355" s="2" t="s">
        <v>138</v>
      </c>
      <c r="I355" s="2" t="s">
        <v>1051</v>
      </c>
      <c r="J355" s="2" t="s">
        <v>1052</v>
      </c>
      <c r="K355" s="2" t="s">
        <v>1559</v>
      </c>
      <c r="L355" s="2" t="s">
        <v>1567</v>
      </c>
      <c r="M355" s="5" t="s">
        <v>1575</v>
      </c>
      <c r="N355" s="8" t="s">
        <v>1578</v>
      </c>
      <c r="O355" s="2">
        <f ca="1">DATEDIF(Addmisson[[#This Row],[Student_DOB]],TODAY(),"y")</f>
        <v>21</v>
      </c>
      <c r="P355" s="2" t="str">
        <f>TEXT(Addmisson[[#This Row],[Admission_Date]],"mmmm")</f>
        <v>January</v>
      </c>
      <c r="Q355" s="2">
        <f>YEAR(Addmisson[[#This Row],[Admission_Date]])</f>
        <v>2026</v>
      </c>
    </row>
    <row r="356" spans="1:17" x14ac:dyDescent="0.25">
      <c r="A356" s="7" t="s">
        <v>453</v>
      </c>
      <c r="B356" s="3">
        <v>46026</v>
      </c>
      <c r="C356" s="2" t="s">
        <v>902</v>
      </c>
      <c r="D356" s="2" t="s">
        <v>1414</v>
      </c>
      <c r="E356" s="3">
        <v>38164</v>
      </c>
      <c r="F356" s="2" t="s">
        <v>127</v>
      </c>
      <c r="G356" s="2" t="s">
        <v>127</v>
      </c>
      <c r="H356" s="2" t="s">
        <v>141</v>
      </c>
      <c r="I356" s="2" t="s">
        <v>1053</v>
      </c>
      <c r="J356" s="2" t="s">
        <v>1052</v>
      </c>
      <c r="K356" s="2" t="s">
        <v>1560</v>
      </c>
      <c r="L356" s="2" t="s">
        <v>1567</v>
      </c>
      <c r="M356" s="5" t="s">
        <v>1571</v>
      </c>
      <c r="N356" s="8" t="s">
        <v>1578</v>
      </c>
      <c r="O356" s="2">
        <f ca="1">DATEDIF(Addmisson[[#This Row],[Student_DOB]],TODAY(),"y")</f>
        <v>22</v>
      </c>
      <c r="P356" s="2" t="str">
        <f>TEXT(Addmisson[[#This Row],[Admission_Date]],"mmmm")</f>
        <v>January</v>
      </c>
      <c r="Q356" s="2">
        <f>YEAR(Addmisson[[#This Row],[Admission_Date]])</f>
        <v>2026</v>
      </c>
    </row>
    <row r="357" spans="1:17" x14ac:dyDescent="0.25">
      <c r="A357" s="7" t="s">
        <v>454</v>
      </c>
      <c r="B357" s="3">
        <v>46027</v>
      </c>
      <c r="C357" s="2" t="s">
        <v>903</v>
      </c>
      <c r="D357" s="2" t="s">
        <v>1415</v>
      </c>
      <c r="E357" s="3">
        <v>38693</v>
      </c>
      <c r="F357" s="2" t="s">
        <v>138</v>
      </c>
      <c r="G357" s="2" t="s">
        <v>138</v>
      </c>
      <c r="H357" s="2" t="s">
        <v>138</v>
      </c>
      <c r="I357" s="2" t="s">
        <v>1054</v>
      </c>
      <c r="J357" s="2" t="s">
        <v>1052</v>
      </c>
      <c r="K357" s="2" t="s">
        <v>1561</v>
      </c>
      <c r="L357" s="2" t="s">
        <v>1567</v>
      </c>
      <c r="M357" s="5" t="s">
        <v>1572</v>
      </c>
      <c r="N357" s="8" t="s">
        <v>1578</v>
      </c>
      <c r="O357" s="2">
        <f ca="1">DATEDIF(Addmisson[[#This Row],[Student_DOB]],TODAY(),"y")</f>
        <v>20</v>
      </c>
      <c r="P357" s="2" t="str">
        <f>TEXT(Addmisson[[#This Row],[Admission_Date]],"mmmm")</f>
        <v>January</v>
      </c>
      <c r="Q357" s="2">
        <f>YEAR(Addmisson[[#This Row],[Admission_Date]])</f>
        <v>2026</v>
      </c>
    </row>
    <row r="358" spans="1:17" x14ac:dyDescent="0.25">
      <c r="A358" s="7" t="s">
        <v>455</v>
      </c>
      <c r="B358" s="3">
        <v>46028</v>
      </c>
      <c r="C358" s="2" t="s">
        <v>904</v>
      </c>
      <c r="D358" s="2" t="s">
        <v>1416</v>
      </c>
      <c r="E358" s="3">
        <v>38060</v>
      </c>
      <c r="F358" s="2" t="s">
        <v>127</v>
      </c>
      <c r="G358" s="2" t="s">
        <v>127</v>
      </c>
      <c r="H358" s="2" t="s">
        <v>141</v>
      </c>
      <c r="I358" s="2" t="s">
        <v>1055</v>
      </c>
      <c r="J358" s="2" t="s">
        <v>1055</v>
      </c>
      <c r="K358" s="2" t="s">
        <v>1562</v>
      </c>
      <c r="L358" s="2" t="s">
        <v>1568</v>
      </c>
      <c r="M358" s="5" t="s">
        <v>1573</v>
      </c>
      <c r="N358" s="8" t="s">
        <v>1578</v>
      </c>
      <c r="O358" s="2">
        <f ca="1">DATEDIF(Addmisson[[#This Row],[Student_DOB]],TODAY(),"y")</f>
        <v>22</v>
      </c>
      <c r="P358" s="2" t="str">
        <f>TEXT(Addmisson[[#This Row],[Admission_Date]],"mmmm")</f>
        <v>January</v>
      </c>
      <c r="Q358" s="2">
        <f>YEAR(Addmisson[[#This Row],[Admission_Date]])</f>
        <v>2026</v>
      </c>
    </row>
    <row r="359" spans="1:17" x14ac:dyDescent="0.25">
      <c r="A359" s="7" t="s">
        <v>456</v>
      </c>
      <c r="B359" s="3">
        <v>46029</v>
      </c>
      <c r="C359" s="2" t="s">
        <v>905</v>
      </c>
      <c r="D359" s="2" t="s">
        <v>1417</v>
      </c>
      <c r="E359" s="3">
        <v>38647</v>
      </c>
      <c r="F359" s="2" t="s">
        <v>129</v>
      </c>
      <c r="G359" s="2" t="s">
        <v>129</v>
      </c>
      <c r="H359" s="2" t="s">
        <v>143</v>
      </c>
      <c r="I359" s="2" t="s">
        <v>16</v>
      </c>
      <c r="J359" s="2" t="s">
        <v>1056</v>
      </c>
      <c r="K359" s="2" t="s">
        <v>1563</v>
      </c>
      <c r="L359" s="2" t="s">
        <v>1568</v>
      </c>
      <c r="M359" s="5" t="s">
        <v>1570</v>
      </c>
      <c r="N359" s="8" t="s">
        <v>1578</v>
      </c>
      <c r="O359" s="2">
        <f ca="1">DATEDIF(Addmisson[[#This Row],[Student_DOB]],TODAY(),"y")</f>
        <v>20</v>
      </c>
      <c r="P359" s="2" t="str">
        <f>TEXT(Addmisson[[#This Row],[Admission_Date]],"mmmm")</f>
        <v>January</v>
      </c>
      <c r="Q359" s="2">
        <f>YEAR(Addmisson[[#This Row],[Admission_Date]])</f>
        <v>2026</v>
      </c>
    </row>
    <row r="360" spans="1:17" x14ac:dyDescent="0.25">
      <c r="A360" s="7" t="s">
        <v>457</v>
      </c>
      <c r="B360" s="3">
        <v>46030</v>
      </c>
      <c r="C360" s="2" t="s">
        <v>906</v>
      </c>
      <c r="D360" s="2" t="s">
        <v>1418</v>
      </c>
      <c r="E360" s="3">
        <v>38116</v>
      </c>
      <c r="F360" s="2" t="s">
        <v>14</v>
      </c>
      <c r="G360" s="2" t="s">
        <v>14</v>
      </c>
      <c r="H360" s="2" t="s">
        <v>15</v>
      </c>
      <c r="I360" s="2" t="s">
        <v>1057</v>
      </c>
      <c r="J360" s="2" t="s">
        <v>1058</v>
      </c>
      <c r="K360" s="2" t="s">
        <v>1564</v>
      </c>
      <c r="L360" s="2" t="s">
        <v>1567</v>
      </c>
      <c r="M360" s="5" t="s">
        <v>1575</v>
      </c>
      <c r="N360" s="8" t="s">
        <v>1578</v>
      </c>
      <c r="O360" s="2">
        <f ca="1">DATEDIF(Addmisson[[#This Row],[Student_DOB]],TODAY(),"y")</f>
        <v>22</v>
      </c>
      <c r="P360" s="2" t="str">
        <f>TEXT(Addmisson[[#This Row],[Admission_Date]],"mmmm")</f>
        <v>January</v>
      </c>
      <c r="Q360" s="2">
        <f>YEAR(Addmisson[[#This Row],[Admission_Date]])</f>
        <v>2026</v>
      </c>
    </row>
    <row r="361" spans="1:17" x14ac:dyDescent="0.25">
      <c r="A361" s="7" t="s">
        <v>458</v>
      </c>
      <c r="B361" s="3">
        <v>46031</v>
      </c>
      <c r="C361" s="2" t="s">
        <v>907</v>
      </c>
      <c r="D361" s="2" t="s">
        <v>1419</v>
      </c>
      <c r="E361" s="3">
        <v>38582</v>
      </c>
      <c r="F361" s="2" t="s">
        <v>145</v>
      </c>
      <c r="G361" s="2" t="s">
        <v>145</v>
      </c>
      <c r="H361" s="2" t="s">
        <v>145</v>
      </c>
      <c r="I361" s="2" t="s">
        <v>1059</v>
      </c>
      <c r="J361" s="2" t="s">
        <v>1059</v>
      </c>
      <c r="K361" s="2" t="s">
        <v>1565</v>
      </c>
      <c r="L361" s="2" t="s">
        <v>1567</v>
      </c>
      <c r="M361" s="5" t="s">
        <v>1571</v>
      </c>
      <c r="N361" s="8" t="s">
        <v>1578</v>
      </c>
      <c r="O361" s="2">
        <f ca="1">DATEDIF(Addmisson[[#This Row],[Student_DOB]],TODAY(),"y")</f>
        <v>21</v>
      </c>
      <c r="P361" s="2" t="str">
        <f>TEXT(Addmisson[[#This Row],[Admission_Date]],"mmmm")</f>
        <v>January</v>
      </c>
      <c r="Q361" s="2">
        <f>YEAR(Addmisson[[#This Row],[Admission_Date]])</f>
        <v>2026</v>
      </c>
    </row>
    <row r="362" spans="1:17" x14ac:dyDescent="0.25">
      <c r="A362" s="7" t="s">
        <v>459</v>
      </c>
      <c r="B362" s="3">
        <v>46032</v>
      </c>
      <c r="C362" s="2" t="s">
        <v>908</v>
      </c>
      <c r="D362" s="2" t="s">
        <v>1420</v>
      </c>
      <c r="E362" s="3">
        <v>38018</v>
      </c>
      <c r="F362" s="2" t="s">
        <v>127</v>
      </c>
      <c r="G362" s="2" t="s">
        <v>127</v>
      </c>
      <c r="H362" s="2" t="s">
        <v>144</v>
      </c>
      <c r="I362" s="2" t="s">
        <v>1060</v>
      </c>
      <c r="J362" s="2" t="s">
        <v>21</v>
      </c>
      <c r="K362" s="2" t="s">
        <v>1558</v>
      </c>
      <c r="L362" s="2" t="s">
        <v>1567</v>
      </c>
      <c r="M362" s="5" t="s">
        <v>1572</v>
      </c>
      <c r="N362" s="8" t="s">
        <v>1578</v>
      </c>
      <c r="O362" s="2">
        <f ca="1">DATEDIF(Addmisson[[#This Row],[Student_DOB]],TODAY(),"y")</f>
        <v>22</v>
      </c>
      <c r="P362" s="2" t="str">
        <f>TEXT(Addmisson[[#This Row],[Admission_Date]],"mmmm")</f>
        <v>January</v>
      </c>
      <c r="Q362" s="2">
        <f>YEAR(Addmisson[[#This Row],[Admission_Date]])</f>
        <v>2026</v>
      </c>
    </row>
    <row r="363" spans="1:17" x14ac:dyDescent="0.25">
      <c r="A363" s="7" t="s">
        <v>460</v>
      </c>
      <c r="B363" s="3">
        <v>46033</v>
      </c>
      <c r="C363" s="2" t="s">
        <v>909</v>
      </c>
      <c r="D363" s="2" t="s">
        <v>1421</v>
      </c>
      <c r="E363" s="3">
        <v>38530</v>
      </c>
      <c r="F363" s="2" t="s">
        <v>129</v>
      </c>
      <c r="G363" s="2" t="s">
        <v>129</v>
      </c>
      <c r="H363" s="2" t="s">
        <v>147</v>
      </c>
      <c r="I363" s="2" t="s">
        <v>1047</v>
      </c>
      <c r="J363" s="2" t="s">
        <v>1048</v>
      </c>
      <c r="K363" s="2" t="s">
        <v>1559</v>
      </c>
      <c r="L363" s="2" t="s">
        <v>1568</v>
      </c>
      <c r="M363" s="5" t="s">
        <v>1573</v>
      </c>
      <c r="N363" s="8" t="s">
        <v>1578</v>
      </c>
      <c r="O363" s="2">
        <f ca="1">DATEDIF(Addmisson[[#This Row],[Student_DOB]],TODAY(),"y")</f>
        <v>21</v>
      </c>
      <c r="P363" s="2" t="str">
        <f>TEXT(Addmisson[[#This Row],[Admission_Date]],"mmmm")</f>
        <v>January</v>
      </c>
      <c r="Q363" s="2">
        <f>YEAR(Addmisson[[#This Row],[Admission_Date]])</f>
        <v>2026</v>
      </c>
    </row>
    <row r="364" spans="1:17" x14ac:dyDescent="0.25">
      <c r="A364" s="7" t="s">
        <v>461</v>
      </c>
      <c r="B364" s="3">
        <v>46034</v>
      </c>
      <c r="C364" s="2" t="s">
        <v>910</v>
      </c>
      <c r="D364" s="2" t="s">
        <v>1422</v>
      </c>
      <c r="E364" s="3">
        <v>38304</v>
      </c>
      <c r="F364" s="2" t="s">
        <v>27</v>
      </c>
      <c r="G364" s="2" t="s">
        <v>27</v>
      </c>
      <c r="H364" s="2" t="s">
        <v>131</v>
      </c>
      <c r="I364" s="2" t="s">
        <v>1049</v>
      </c>
      <c r="J364" s="2" t="s">
        <v>1050</v>
      </c>
      <c r="K364" s="2" t="s">
        <v>1560</v>
      </c>
      <c r="L364" s="2" t="s">
        <v>1567</v>
      </c>
      <c r="M364" s="5" t="s">
        <v>1574</v>
      </c>
      <c r="N364" s="8" t="s">
        <v>1578</v>
      </c>
      <c r="O364" s="2">
        <f ca="1">DATEDIF(Addmisson[[#This Row],[Student_DOB]],TODAY(),"y")</f>
        <v>21</v>
      </c>
      <c r="P364" s="2" t="str">
        <f>TEXT(Addmisson[[#This Row],[Admission_Date]],"mmmm")</f>
        <v>January</v>
      </c>
      <c r="Q364" s="2">
        <f>YEAR(Addmisson[[#This Row],[Admission_Date]])</f>
        <v>2026</v>
      </c>
    </row>
    <row r="365" spans="1:17" x14ac:dyDescent="0.25">
      <c r="A365" s="7" t="s">
        <v>462</v>
      </c>
      <c r="B365" s="3">
        <v>46035</v>
      </c>
      <c r="C365" s="2" t="s">
        <v>911</v>
      </c>
      <c r="D365" s="2" t="s">
        <v>1423</v>
      </c>
      <c r="E365" s="3">
        <v>38447</v>
      </c>
      <c r="F365" s="2" t="s">
        <v>127</v>
      </c>
      <c r="G365" s="2" t="s">
        <v>127</v>
      </c>
      <c r="H365" s="2" t="s">
        <v>146</v>
      </c>
      <c r="I365" s="2" t="s">
        <v>1051</v>
      </c>
      <c r="J365" s="2" t="s">
        <v>1052</v>
      </c>
      <c r="K365" s="2" t="s">
        <v>1561</v>
      </c>
      <c r="L365" s="2" t="s">
        <v>1567</v>
      </c>
      <c r="M365" s="5" t="s">
        <v>1576</v>
      </c>
      <c r="N365" s="8" t="s">
        <v>1578</v>
      </c>
      <c r="O365" s="2">
        <f ca="1">DATEDIF(Addmisson[[#This Row],[Student_DOB]],TODAY(),"y")</f>
        <v>21</v>
      </c>
      <c r="P365" s="2" t="str">
        <f>TEXT(Addmisson[[#This Row],[Admission_Date]],"mmmm")</f>
        <v>January</v>
      </c>
      <c r="Q365" s="2">
        <f>YEAR(Addmisson[[#This Row],[Admission_Date]])</f>
        <v>2026</v>
      </c>
    </row>
    <row r="366" spans="1:17" x14ac:dyDescent="0.25">
      <c r="A366" s="7" t="s">
        <v>463</v>
      </c>
      <c r="B366" s="3">
        <v>46036</v>
      </c>
      <c r="C366" s="2" t="s">
        <v>912</v>
      </c>
      <c r="D366" s="2" t="s">
        <v>1424</v>
      </c>
      <c r="E366" s="3">
        <v>38250</v>
      </c>
      <c r="F366" s="2" t="s">
        <v>142</v>
      </c>
      <c r="G366" s="2" t="s">
        <v>142</v>
      </c>
      <c r="H366" s="2" t="s">
        <v>142</v>
      </c>
      <c r="I366" s="2" t="s">
        <v>1053</v>
      </c>
      <c r="J366" s="2" t="s">
        <v>1052</v>
      </c>
      <c r="K366" s="2" t="s">
        <v>1562</v>
      </c>
      <c r="L366" s="2" t="s">
        <v>1568</v>
      </c>
      <c r="M366" s="5" t="s">
        <v>1577</v>
      </c>
      <c r="N366" s="8" t="s">
        <v>1578</v>
      </c>
      <c r="O366" s="2">
        <f ca="1">DATEDIF(Addmisson[[#This Row],[Student_DOB]],TODAY(),"y")</f>
        <v>22</v>
      </c>
      <c r="P366" s="2" t="str">
        <f>TEXT(Addmisson[[#This Row],[Admission_Date]],"mmmm")</f>
        <v>January</v>
      </c>
      <c r="Q366" s="2">
        <f>YEAR(Addmisson[[#This Row],[Admission_Date]])</f>
        <v>2026</v>
      </c>
    </row>
    <row r="367" spans="1:17" x14ac:dyDescent="0.25">
      <c r="A367" s="7" t="s">
        <v>464</v>
      </c>
      <c r="B367" s="3">
        <v>46037</v>
      </c>
      <c r="C367" s="2" t="s">
        <v>913</v>
      </c>
      <c r="D367" s="2" t="s">
        <v>1425</v>
      </c>
      <c r="E367" s="3">
        <v>38368</v>
      </c>
      <c r="F367" s="2" t="s">
        <v>129</v>
      </c>
      <c r="G367" s="2" t="s">
        <v>129</v>
      </c>
      <c r="H367" s="2" t="s">
        <v>130</v>
      </c>
      <c r="I367" s="2" t="s">
        <v>1054</v>
      </c>
      <c r="J367" s="2" t="s">
        <v>1052</v>
      </c>
      <c r="K367" s="2" t="s">
        <v>1563</v>
      </c>
      <c r="L367" s="2" t="s">
        <v>1568</v>
      </c>
      <c r="M367" s="5" t="s">
        <v>1570</v>
      </c>
      <c r="N367" s="8" t="s">
        <v>1578</v>
      </c>
      <c r="O367" s="2">
        <f ca="1">DATEDIF(Addmisson[[#This Row],[Student_DOB]],TODAY(),"y")</f>
        <v>21</v>
      </c>
      <c r="P367" s="2" t="str">
        <f>TEXT(Addmisson[[#This Row],[Admission_Date]],"mmmm")</f>
        <v>January</v>
      </c>
      <c r="Q367" s="2">
        <f>YEAR(Addmisson[[#This Row],[Admission_Date]])</f>
        <v>2026</v>
      </c>
    </row>
    <row r="368" spans="1:17" x14ac:dyDescent="0.25">
      <c r="A368" s="7" t="s">
        <v>465</v>
      </c>
      <c r="B368" s="3">
        <v>46038</v>
      </c>
      <c r="C368" s="2" t="s">
        <v>914</v>
      </c>
      <c r="D368" s="2" t="s">
        <v>1426</v>
      </c>
      <c r="E368" s="3">
        <v>38176</v>
      </c>
      <c r="F368" s="2" t="s">
        <v>127</v>
      </c>
      <c r="G368" s="2" t="s">
        <v>127</v>
      </c>
      <c r="H368" s="2" t="s">
        <v>128</v>
      </c>
      <c r="I368" s="2" t="s">
        <v>1055</v>
      </c>
      <c r="J368" s="2" t="s">
        <v>1055</v>
      </c>
      <c r="K368" s="2" t="s">
        <v>1564</v>
      </c>
      <c r="L368" s="2" t="s">
        <v>1568</v>
      </c>
      <c r="M368" s="5" t="s">
        <v>1575</v>
      </c>
      <c r="N368" s="8" t="s">
        <v>1578</v>
      </c>
      <c r="O368" s="2">
        <f ca="1">DATEDIF(Addmisson[[#This Row],[Student_DOB]],TODAY(),"y")</f>
        <v>22</v>
      </c>
      <c r="P368" s="2" t="str">
        <f>TEXT(Addmisson[[#This Row],[Admission_Date]],"mmmm")</f>
        <v>January</v>
      </c>
      <c r="Q368" s="2">
        <f>YEAR(Addmisson[[#This Row],[Admission_Date]])</f>
        <v>2026</v>
      </c>
    </row>
    <row r="369" spans="1:17" x14ac:dyDescent="0.25">
      <c r="A369" s="7" t="s">
        <v>466</v>
      </c>
      <c r="B369" s="3">
        <v>46039</v>
      </c>
      <c r="C369" s="2" t="s">
        <v>915</v>
      </c>
      <c r="D369" s="2" t="s">
        <v>1427</v>
      </c>
      <c r="E369" s="3">
        <v>39781</v>
      </c>
      <c r="F369" s="2" t="s">
        <v>148</v>
      </c>
      <c r="G369" s="2" t="s">
        <v>148</v>
      </c>
      <c r="H369" s="2" t="s">
        <v>148</v>
      </c>
      <c r="I369" s="2" t="s">
        <v>16</v>
      </c>
      <c r="J369" s="2" t="s">
        <v>1056</v>
      </c>
      <c r="K369" s="2" t="s">
        <v>1565</v>
      </c>
      <c r="L369" s="2" t="s">
        <v>1568</v>
      </c>
      <c r="M369" s="5" t="s">
        <v>1571</v>
      </c>
      <c r="N369" s="8" t="s">
        <v>1578</v>
      </c>
      <c r="O369" s="2">
        <f ca="1">DATEDIF(Addmisson[[#This Row],[Student_DOB]],TODAY(),"y")</f>
        <v>17</v>
      </c>
      <c r="P369" s="2" t="str">
        <f>TEXT(Addmisson[[#This Row],[Admission_Date]],"mmmm")</f>
        <v>January</v>
      </c>
      <c r="Q369" s="2">
        <f>YEAR(Addmisson[[#This Row],[Admission_Date]])</f>
        <v>2026</v>
      </c>
    </row>
    <row r="370" spans="1:17" x14ac:dyDescent="0.25">
      <c r="A370" s="7" t="s">
        <v>467</v>
      </c>
      <c r="B370" s="3">
        <v>46040</v>
      </c>
      <c r="C370" s="2" t="s">
        <v>916</v>
      </c>
      <c r="D370" s="2" t="s">
        <v>1428</v>
      </c>
      <c r="E370" s="3">
        <v>38048</v>
      </c>
      <c r="F370" s="2" t="s">
        <v>14</v>
      </c>
      <c r="G370" s="2" t="s">
        <v>14</v>
      </c>
      <c r="H370" s="2" t="s">
        <v>132</v>
      </c>
      <c r="I370" s="2" t="s">
        <v>1057</v>
      </c>
      <c r="J370" s="2" t="s">
        <v>1058</v>
      </c>
      <c r="K370" s="2" t="s">
        <v>1558</v>
      </c>
      <c r="L370" s="2" t="s">
        <v>1568</v>
      </c>
      <c r="M370" s="5" t="s">
        <v>1572</v>
      </c>
      <c r="N370" s="8" t="s">
        <v>1578</v>
      </c>
      <c r="O370" s="2">
        <f ca="1">DATEDIF(Addmisson[[#This Row],[Student_DOB]],TODAY(),"y")</f>
        <v>22</v>
      </c>
      <c r="P370" s="2" t="str">
        <f>TEXT(Addmisson[[#This Row],[Admission_Date]],"mmmm")</f>
        <v>January</v>
      </c>
      <c r="Q370" s="2">
        <f>YEAR(Addmisson[[#This Row],[Admission_Date]])</f>
        <v>2026</v>
      </c>
    </row>
    <row r="371" spans="1:17" x14ac:dyDescent="0.25">
      <c r="A371" s="7" t="s">
        <v>468</v>
      </c>
      <c r="B371" s="3">
        <v>46041</v>
      </c>
      <c r="C371" s="2" t="s">
        <v>917</v>
      </c>
      <c r="D371" s="2" t="s">
        <v>1429</v>
      </c>
      <c r="E371" s="3">
        <v>38484</v>
      </c>
      <c r="F371" s="2" t="s">
        <v>127</v>
      </c>
      <c r="G371" s="2" t="s">
        <v>127</v>
      </c>
      <c r="H371" s="2" t="s">
        <v>133</v>
      </c>
      <c r="I371" s="2" t="s">
        <v>1059</v>
      </c>
      <c r="J371" s="2" t="s">
        <v>1059</v>
      </c>
      <c r="K371" s="2" t="s">
        <v>1559</v>
      </c>
      <c r="L371" s="2" t="s">
        <v>1568</v>
      </c>
      <c r="M371" s="5" t="s">
        <v>1573</v>
      </c>
      <c r="N371" s="8" t="s">
        <v>1578</v>
      </c>
      <c r="O371" s="2">
        <f ca="1">DATEDIF(Addmisson[[#This Row],[Student_DOB]],TODAY(),"y")</f>
        <v>21</v>
      </c>
      <c r="P371" s="2" t="str">
        <f>TEXT(Addmisson[[#This Row],[Admission_Date]],"mmmm")</f>
        <v>January</v>
      </c>
      <c r="Q371" s="2">
        <f>YEAR(Addmisson[[#This Row],[Admission_Date]])</f>
        <v>2026</v>
      </c>
    </row>
    <row r="372" spans="1:17" x14ac:dyDescent="0.25">
      <c r="A372" s="7" t="s">
        <v>469</v>
      </c>
      <c r="B372" s="3">
        <v>46042</v>
      </c>
      <c r="C372" s="2" t="s">
        <v>918</v>
      </c>
      <c r="D372" s="2" t="s">
        <v>1430</v>
      </c>
      <c r="E372" s="3">
        <v>38285</v>
      </c>
      <c r="F372" s="2" t="s">
        <v>138</v>
      </c>
      <c r="G372" s="2" t="s">
        <v>138</v>
      </c>
      <c r="H372" s="2" t="s">
        <v>138</v>
      </c>
      <c r="I372" s="2" t="s">
        <v>1060</v>
      </c>
      <c r="J372" s="2" t="s">
        <v>21</v>
      </c>
      <c r="K372" s="2" t="s">
        <v>1560</v>
      </c>
      <c r="L372" s="2" t="s">
        <v>1568</v>
      </c>
      <c r="M372" s="5" t="s">
        <v>1574</v>
      </c>
      <c r="N372" s="8" t="s">
        <v>1578</v>
      </c>
      <c r="O372" s="2">
        <f ca="1">DATEDIF(Addmisson[[#This Row],[Student_DOB]],TODAY(),"y")</f>
        <v>21</v>
      </c>
      <c r="P372" s="2" t="str">
        <f>TEXT(Addmisson[[#This Row],[Admission_Date]],"mmmm")</f>
        <v>January</v>
      </c>
      <c r="Q372" s="2">
        <f>YEAR(Addmisson[[#This Row],[Admission_Date]])</f>
        <v>2026</v>
      </c>
    </row>
    <row r="373" spans="1:17" x14ac:dyDescent="0.25">
      <c r="A373" s="7" t="s">
        <v>470</v>
      </c>
      <c r="B373" s="3">
        <v>46043</v>
      </c>
      <c r="C373" s="2" t="s">
        <v>919</v>
      </c>
      <c r="D373" s="2" t="s">
        <v>1431</v>
      </c>
      <c r="E373" s="3">
        <v>38570</v>
      </c>
      <c r="F373" s="2" t="s">
        <v>127</v>
      </c>
      <c r="G373" s="2" t="s">
        <v>127</v>
      </c>
      <c r="H373" s="2" t="s">
        <v>141</v>
      </c>
      <c r="I373" s="2" t="s">
        <v>1047</v>
      </c>
      <c r="J373" s="2" t="s">
        <v>1048</v>
      </c>
      <c r="K373" s="2" t="s">
        <v>1561</v>
      </c>
      <c r="L373" s="2" t="s">
        <v>1568</v>
      </c>
      <c r="M373" s="5" t="s">
        <v>1576</v>
      </c>
      <c r="N373" s="8" t="s">
        <v>1578</v>
      </c>
      <c r="O373" s="2">
        <f ca="1">DATEDIF(Addmisson[[#This Row],[Student_DOB]],TODAY(),"y")</f>
        <v>21</v>
      </c>
      <c r="P373" s="2" t="str">
        <f>TEXT(Addmisson[[#This Row],[Admission_Date]],"mmmm")</f>
        <v>January</v>
      </c>
      <c r="Q373" s="2">
        <f>YEAR(Addmisson[[#This Row],[Admission_Date]])</f>
        <v>2026</v>
      </c>
    </row>
    <row r="374" spans="1:17" x14ac:dyDescent="0.25">
      <c r="A374" s="7" t="s">
        <v>471</v>
      </c>
      <c r="B374" s="3">
        <v>46044</v>
      </c>
      <c r="C374" s="2" t="s">
        <v>920</v>
      </c>
      <c r="D374" s="2" t="s">
        <v>1432</v>
      </c>
      <c r="E374" s="3">
        <v>38034</v>
      </c>
      <c r="F374" s="2" t="s">
        <v>129</v>
      </c>
      <c r="G374" s="2" t="s">
        <v>129</v>
      </c>
      <c r="H374" s="2" t="s">
        <v>143</v>
      </c>
      <c r="I374" s="2" t="s">
        <v>1049</v>
      </c>
      <c r="J374" s="2" t="s">
        <v>1050</v>
      </c>
      <c r="K374" s="2" t="s">
        <v>1562</v>
      </c>
      <c r="L374" s="2" t="s">
        <v>1568</v>
      </c>
      <c r="M374" s="5" t="s">
        <v>1577</v>
      </c>
      <c r="N374" s="8" t="s">
        <v>1578</v>
      </c>
      <c r="O374" s="2">
        <f ca="1">DATEDIF(Addmisson[[#This Row],[Student_DOB]],TODAY(),"y")</f>
        <v>22</v>
      </c>
      <c r="P374" s="2" t="str">
        <f>TEXT(Addmisson[[#This Row],[Admission_Date]],"mmmm")</f>
        <v>January</v>
      </c>
      <c r="Q374" s="2">
        <f>YEAR(Addmisson[[#This Row],[Admission_Date]])</f>
        <v>2026</v>
      </c>
    </row>
    <row r="375" spans="1:17" x14ac:dyDescent="0.25">
      <c r="A375" s="7" t="s">
        <v>472</v>
      </c>
      <c r="B375" s="3">
        <v>46045</v>
      </c>
      <c r="C375" s="2" t="s">
        <v>921</v>
      </c>
      <c r="D375" s="2" t="s">
        <v>1433</v>
      </c>
      <c r="E375" s="3">
        <v>38616</v>
      </c>
      <c r="F375" s="2" t="s">
        <v>14</v>
      </c>
      <c r="G375" s="2" t="s">
        <v>14</v>
      </c>
      <c r="H375" s="2" t="s">
        <v>15</v>
      </c>
      <c r="I375" s="2" t="s">
        <v>1051</v>
      </c>
      <c r="J375" s="2" t="s">
        <v>1052</v>
      </c>
      <c r="K375" s="2" t="s">
        <v>1563</v>
      </c>
      <c r="L375" s="2" t="s">
        <v>1568</v>
      </c>
      <c r="M375" s="5" t="s">
        <v>1570</v>
      </c>
      <c r="N375" s="8" t="s">
        <v>1578</v>
      </c>
      <c r="O375" s="2">
        <f ca="1">DATEDIF(Addmisson[[#This Row],[Student_DOB]],TODAY(),"y")</f>
        <v>21</v>
      </c>
      <c r="P375" s="2" t="str">
        <f>TEXT(Addmisson[[#This Row],[Admission_Date]],"mmmm")</f>
        <v>January</v>
      </c>
      <c r="Q375" s="2">
        <f>YEAR(Addmisson[[#This Row],[Admission_Date]])</f>
        <v>2026</v>
      </c>
    </row>
    <row r="376" spans="1:17" x14ac:dyDescent="0.25">
      <c r="A376" s="7" t="s">
        <v>473</v>
      </c>
      <c r="B376" s="3">
        <v>46046</v>
      </c>
      <c r="C376" s="2" t="s">
        <v>922</v>
      </c>
      <c r="D376" s="2" t="s">
        <v>1434</v>
      </c>
      <c r="E376" s="3">
        <v>38107</v>
      </c>
      <c r="F376" s="2" t="s">
        <v>145</v>
      </c>
      <c r="G376" s="2" t="s">
        <v>145</v>
      </c>
      <c r="H376" s="2" t="s">
        <v>145</v>
      </c>
      <c r="I376" s="2" t="s">
        <v>1053</v>
      </c>
      <c r="J376" s="2" t="s">
        <v>1052</v>
      </c>
      <c r="K376" s="2" t="s">
        <v>1564</v>
      </c>
      <c r="L376" s="2" t="s">
        <v>1568</v>
      </c>
      <c r="M376" s="5" t="s">
        <v>1575</v>
      </c>
      <c r="N376" s="8" t="s">
        <v>1578</v>
      </c>
      <c r="O376" s="2">
        <f ca="1">DATEDIF(Addmisson[[#This Row],[Student_DOB]],TODAY(),"y")</f>
        <v>22</v>
      </c>
      <c r="P376" s="2" t="str">
        <f>TEXT(Addmisson[[#This Row],[Admission_Date]],"mmmm")</f>
        <v>January</v>
      </c>
      <c r="Q376" s="2">
        <f>YEAR(Addmisson[[#This Row],[Admission_Date]])</f>
        <v>2026</v>
      </c>
    </row>
    <row r="377" spans="1:17" x14ac:dyDescent="0.25">
      <c r="A377" s="7" t="s">
        <v>474</v>
      </c>
      <c r="B377" s="3">
        <v>46047</v>
      </c>
      <c r="C377" s="2" t="s">
        <v>923</v>
      </c>
      <c r="D377" s="2" t="s">
        <v>1435</v>
      </c>
      <c r="E377" s="3">
        <v>38542</v>
      </c>
      <c r="F377" s="2" t="s">
        <v>127</v>
      </c>
      <c r="G377" s="2" t="s">
        <v>127</v>
      </c>
      <c r="H377" s="2" t="s">
        <v>144</v>
      </c>
      <c r="I377" s="2" t="s">
        <v>1054</v>
      </c>
      <c r="J377" s="2" t="s">
        <v>1052</v>
      </c>
      <c r="K377" s="2" t="s">
        <v>1565</v>
      </c>
      <c r="L377" s="2" t="s">
        <v>1568</v>
      </c>
      <c r="M377" s="5" t="s">
        <v>1571</v>
      </c>
      <c r="N377" s="8" t="s">
        <v>1578</v>
      </c>
      <c r="O377" s="2">
        <f ca="1">DATEDIF(Addmisson[[#This Row],[Student_DOB]],TODAY(),"y")</f>
        <v>21</v>
      </c>
      <c r="P377" s="2" t="str">
        <f>TEXT(Addmisson[[#This Row],[Admission_Date]],"mmmm")</f>
        <v>January</v>
      </c>
      <c r="Q377" s="2">
        <f>YEAR(Addmisson[[#This Row],[Admission_Date]])</f>
        <v>2026</v>
      </c>
    </row>
    <row r="378" spans="1:17" x14ac:dyDescent="0.25">
      <c r="A378" s="7" t="s">
        <v>475</v>
      </c>
      <c r="B378" s="3">
        <v>46048</v>
      </c>
      <c r="C378" s="2" t="s">
        <v>924</v>
      </c>
      <c r="D378" s="2" t="s">
        <v>1436</v>
      </c>
      <c r="E378" s="3">
        <v>38295</v>
      </c>
      <c r="F378" s="2" t="s">
        <v>129</v>
      </c>
      <c r="G378" s="2" t="s">
        <v>129</v>
      </c>
      <c r="H378" s="2" t="s">
        <v>147</v>
      </c>
      <c r="I378" s="2" t="s">
        <v>1055</v>
      </c>
      <c r="J378" s="2" t="s">
        <v>1055</v>
      </c>
      <c r="K378" s="2" t="s">
        <v>1558</v>
      </c>
      <c r="L378" s="2" t="s">
        <v>1568</v>
      </c>
      <c r="M378" s="5" t="s">
        <v>1572</v>
      </c>
      <c r="N378" s="8" t="s">
        <v>1578</v>
      </c>
      <c r="O378" s="2">
        <f ca="1">DATEDIF(Addmisson[[#This Row],[Student_DOB]],TODAY(),"y")</f>
        <v>21</v>
      </c>
      <c r="P378" s="2" t="str">
        <f>TEXT(Addmisson[[#This Row],[Admission_Date]],"mmmm")</f>
        <v>January</v>
      </c>
      <c r="Q378" s="2">
        <f>YEAR(Addmisson[[#This Row],[Admission_Date]])</f>
        <v>2026</v>
      </c>
    </row>
    <row r="379" spans="1:17" x14ac:dyDescent="0.25">
      <c r="A379" s="7" t="s">
        <v>476</v>
      </c>
      <c r="B379" s="3">
        <v>46049</v>
      </c>
      <c r="C379" s="2" t="s">
        <v>925</v>
      </c>
      <c r="D379" s="2" t="s">
        <v>1437</v>
      </c>
      <c r="E379" s="3">
        <v>38791</v>
      </c>
      <c r="F379" s="2" t="s">
        <v>27</v>
      </c>
      <c r="G379" s="2" t="s">
        <v>27</v>
      </c>
      <c r="H379" s="2" t="s">
        <v>131</v>
      </c>
      <c r="I379" s="2" t="s">
        <v>16</v>
      </c>
      <c r="J379" s="2" t="s">
        <v>1056</v>
      </c>
      <c r="K379" s="2" t="s">
        <v>1559</v>
      </c>
      <c r="L379" s="2" t="s">
        <v>1568</v>
      </c>
      <c r="M379" s="5" t="s">
        <v>1573</v>
      </c>
      <c r="N379" s="8" t="s">
        <v>1578</v>
      </c>
      <c r="O379" s="2">
        <f ca="1">DATEDIF(Addmisson[[#This Row],[Student_DOB]],TODAY(),"y")</f>
        <v>20</v>
      </c>
      <c r="P379" s="2" t="str">
        <f>TEXT(Addmisson[[#This Row],[Admission_Date]],"mmmm")</f>
        <v>January</v>
      </c>
      <c r="Q379" s="2">
        <f>YEAR(Addmisson[[#This Row],[Admission_Date]])</f>
        <v>2026</v>
      </c>
    </row>
    <row r="380" spans="1:17" x14ac:dyDescent="0.25">
      <c r="A380" s="7" t="s">
        <v>477</v>
      </c>
      <c r="B380" s="3">
        <v>46050</v>
      </c>
      <c r="C380" s="2" t="s">
        <v>926</v>
      </c>
      <c r="D380" s="2" t="s">
        <v>1438</v>
      </c>
      <c r="E380" s="3">
        <v>38166</v>
      </c>
      <c r="F380" s="2" t="s">
        <v>127</v>
      </c>
      <c r="G380" s="2" t="s">
        <v>127</v>
      </c>
      <c r="H380" s="2" t="s">
        <v>146</v>
      </c>
      <c r="I380" s="2" t="s">
        <v>1057</v>
      </c>
      <c r="J380" s="2" t="s">
        <v>1058</v>
      </c>
      <c r="K380" s="2" t="s">
        <v>1560</v>
      </c>
      <c r="L380" s="2" t="s">
        <v>1568</v>
      </c>
      <c r="M380" s="5" t="s">
        <v>1570</v>
      </c>
      <c r="N380" s="8" t="s">
        <v>1578</v>
      </c>
      <c r="O380" s="2">
        <f ca="1">DATEDIF(Addmisson[[#This Row],[Student_DOB]],TODAY(),"y")</f>
        <v>22</v>
      </c>
      <c r="P380" s="2" t="str">
        <f>TEXT(Addmisson[[#This Row],[Admission_Date]],"mmmm")</f>
        <v>January</v>
      </c>
      <c r="Q380" s="2">
        <f>YEAR(Addmisson[[#This Row],[Admission_Date]])</f>
        <v>2026</v>
      </c>
    </row>
    <row r="381" spans="1:17" x14ac:dyDescent="0.25">
      <c r="A381" s="7" t="s">
        <v>478</v>
      </c>
      <c r="B381" s="3">
        <v>46051</v>
      </c>
      <c r="C381" s="2" t="s">
        <v>927</v>
      </c>
      <c r="D381" s="2" t="s">
        <v>1439</v>
      </c>
      <c r="E381" s="3">
        <v>38626</v>
      </c>
      <c r="F381" s="2" t="s">
        <v>142</v>
      </c>
      <c r="G381" s="2" t="s">
        <v>142</v>
      </c>
      <c r="H381" s="2" t="s">
        <v>142</v>
      </c>
      <c r="I381" s="2" t="s">
        <v>1059</v>
      </c>
      <c r="J381" s="2" t="s">
        <v>1059</v>
      </c>
      <c r="K381" s="2" t="s">
        <v>1561</v>
      </c>
      <c r="L381" s="2" t="s">
        <v>1568</v>
      </c>
      <c r="M381" s="5" t="s">
        <v>1575</v>
      </c>
      <c r="N381" s="8" t="s">
        <v>1578</v>
      </c>
      <c r="O381" s="2">
        <f ca="1">DATEDIF(Addmisson[[#This Row],[Student_DOB]],TODAY(),"y")</f>
        <v>21</v>
      </c>
      <c r="P381" s="2" t="str">
        <f>TEXT(Addmisson[[#This Row],[Admission_Date]],"mmmm")</f>
        <v>January</v>
      </c>
      <c r="Q381" s="2">
        <f>YEAR(Addmisson[[#This Row],[Admission_Date]])</f>
        <v>2026</v>
      </c>
    </row>
    <row r="382" spans="1:17" x14ac:dyDescent="0.25">
      <c r="A382" s="7" t="s">
        <v>479</v>
      </c>
      <c r="B382" s="3">
        <v>46052</v>
      </c>
      <c r="C382" s="2" t="s">
        <v>928</v>
      </c>
      <c r="D382" s="2" t="s">
        <v>1440</v>
      </c>
      <c r="E382" s="3">
        <v>38028</v>
      </c>
      <c r="F382" s="2" t="s">
        <v>129</v>
      </c>
      <c r="G382" s="2" t="s">
        <v>129</v>
      </c>
      <c r="H382" s="2" t="s">
        <v>130</v>
      </c>
      <c r="I382" s="2" t="s">
        <v>1060</v>
      </c>
      <c r="J382" s="2" t="s">
        <v>21</v>
      </c>
      <c r="K382" s="2" t="s">
        <v>1562</v>
      </c>
      <c r="L382" s="2" t="s">
        <v>1568</v>
      </c>
      <c r="M382" s="5" t="s">
        <v>1571</v>
      </c>
      <c r="N382" s="8" t="s">
        <v>1578</v>
      </c>
      <c r="O382" s="2">
        <f ca="1">DATEDIF(Addmisson[[#This Row],[Student_DOB]],TODAY(),"y")</f>
        <v>22</v>
      </c>
      <c r="P382" s="2" t="str">
        <f>TEXT(Addmisson[[#This Row],[Admission_Date]],"mmmm")</f>
        <v>January</v>
      </c>
      <c r="Q382" s="2">
        <f>YEAR(Addmisson[[#This Row],[Admission_Date]])</f>
        <v>2026</v>
      </c>
    </row>
    <row r="383" spans="1:17" x14ac:dyDescent="0.25">
      <c r="A383" s="7" t="s">
        <v>480</v>
      </c>
      <c r="B383" s="3">
        <v>46053</v>
      </c>
      <c r="C383" s="2" t="s">
        <v>929</v>
      </c>
      <c r="D383" s="2" t="s">
        <v>1441</v>
      </c>
      <c r="E383" s="3">
        <v>38557</v>
      </c>
      <c r="F383" s="2" t="s">
        <v>127</v>
      </c>
      <c r="G383" s="2" t="s">
        <v>134</v>
      </c>
      <c r="H383" s="2" t="s">
        <v>128</v>
      </c>
      <c r="I383" s="2" t="s">
        <v>1047</v>
      </c>
      <c r="J383" s="2" t="s">
        <v>1048</v>
      </c>
      <c r="K383" s="2" t="s">
        <v>1563</v>
      </c>
      <c r="L383" s="2" t="s">
        <v>1568</v>
      </c>
      <c r="M383" s="5" t="s">
        <v>1572</v>
      </c>
      <c r="N383" s="8" t="s">
        <v>1578</v>
      </c>
      <c r="O383" s="2">
        <f ca="1">DATEDIF(Addmisson[[#This Row],[Student_DOB]],TODAY(),"y")</f>
        <v>21</v>
      </c>
      <c r="P383" s="2" t="str">
        <f>TEXT(Addmisson[[#This Row],[Admission_Date]],"mmmm")</f>
        <v>January</v>
      </c>
      <c r="Q383" s="2">
        <f>YEAR(Addmisson[[#This Row],[Admission_Date]])</f>
        <v>2026</v>
      </c>
    </row>
    <row r="384" spans="1:17" x14ac:dyDescent="0.25">
      <c r="A384" s="7" t="s">
        <v>481</v>
      </c>
      <c r="B384" s="3">
        <v>46054</v>
      </c>
      <c r="C384" s="2" t="s">
        <v>930</v>
      </c>
      <c r="D384" s="2" t="s">
        <v>1442</v>
      </c>
      <c r="E384" s="3">
        <v>38114</v>
      </c>
      <c r="F384" s="2" t="s">
        <v>148</v>
      </c>
      <c r="G384" s="2" t="s">
        <v>148</v>
      </c>
      <c r="H384" s="2" t="s">
        <v>148</v>
      </c>
      <c r="I384" s="2" t="s">
        <v>1049</v>
      </c>
      <c r="J384" s="2" t="s">
        <v>1050</v>
      </c>
      <c r="K384" s="2" t="s">
        <v>1564</v>
      </c>
      <c r="L384" s="2" t="s">
        <v>1568</v>
      </c>
      <c r="M384" s="5" t="s">
        <v>1573</v>
      </c>
      <c r="N384" s="8" t="s">
        <v>1578</v>
      </c>
      <c r="O384" s="2">
        <f ca="1">DATEDIF(Addmisson[[#This Row],[Student_DOB]],TODAY(),"y")</f>
        <v>22</v>
      </c>
      <c r="P384" s="2" t="str">
        <f>TEXT(Addmisson[[#This Row],[Admission_Date]],"mmmm")</f>
        <v>February</v>
      </c>
      <c r="Q384" s="2">
        <f>YEAR(Addmisson[[#This Row],[Admission_Date]])</f>
        <v>2026</v>
      </c>
    </row>
    <row r="385" spans="1:17" x14ac:dyDescent="0.25">
      <c r="A385" s="7" t="s">
        <v>482</v>
      </c>
      <c r="B385" s="3">
        <v>46055</v>
      </c>
      <c r="C385" s="2" t="s">
        <v>931</v>
      </c>
      <c r="D385" s="2" t="s">
        <v>1443</v>
      </c>
      <c r="E385" s="3">
        <v>39435</v>
      </c>
      <c r="F385" s="2" t="s">
        <v>14</v>
      </c>
      <c r="G385" s="2" t="s">
        <v>14</v>
      </c>
      <c r="H385" s="2" t="s">
        <v>132</v>
      </c>
      <c r="I385" s="2" t="s">
        <v>1051</v>
      </c>
      <c r="J385" s="2" t="s">
        <v>1052</v>
      </c>
      <c r="K385" s="2" t="s">
        <v>1565</v>
      </c>
      <c r="L385" s="2" t="s">
        <v>1568</v>
      </c>
      <c r="M385" s="5" t="s">
        <v>1574</v>
      </c>
      <c r="N385" s="8" t="s">
        <v>1578</v>
      </c>
      <c r="O385" s="2">
        <f ca="1">DATEDIF(Addmisson[[#This Row],[Student_DOB]],TODAY(),"y")</f>
        <v>18</v>
      </c>
      <c r="P385" s="2" t="str">
        <f>TEXT(Addmisson[[#This Row],[Admission_Date]],"mmmm")</f>
        <v>February</v>
      </c>
      <c r="Q385" s="2">
        <f>YEAR(Addmisson[[#This Row],[Admission_Date]])</f>
        <v>2026</v>
      </c>
    </row>
    <row r="386" spans="1:17" x14ac:dyDescent="0.25">
      <c r="A386" s="7" t="s">
        <v>483</v>
      </c>
      <c r="B386" s="3">
        <v>46056</v>
      </c>
      <c r="C386" s="2" t="s">
        <v>932</v>
      </c>
      <c r="D386" s="2" t="s">
        <v>1444</v>
      </c>
      <c r="E386" s="3">
        <v>38093</v>
      </c>
      <c r="F386" s="2" t="s">
        <v>127</v>
      </c>
      <c r="G386" s="2" t="s">
        <v>127</v>
      </c>
      <c r="H386" s="2" t="s">
        <v>133</v>
      </c>
      <c r="I386" s="2" t="s">
        <v>1053</v>
      </c>
      <c r="J386" s="2" t="s">
        <v>1052</v>
      </c>
      <c r="K386" s="2" t="s">
        <v>1558</v>
      </c>
      <c r="L386" s="2" t="s">
        <v>1568</v>
      </c>
      <c r="M386" s="5" t="s">
        <v>1576</v>
      </c>
      <c r="N386" s="8" t="s">
        <v>1578</v>
      </c>
      <c r="O386" s="2">
        <f ca="1">DATEDIF(Addmisson[[#This Row],[Student_DOB]],TODAY(),"y")</f>
        <v>22</v>
      </c>
      <c r="P386" s="2" t="str">
        <f>TEXT(Addmisson[[#This Row],[Admission_Date]],"mmmm")</f>
        <v>February</v>
      </c>
      <c r="Q386" s="2">
        <f>YEAR(Addmisson[[#This Row],[Admission_Date]])</f>
        <v>2026</v>
      </c>
    </row>
    <row r="387" spans="1:17" x14ac:dyDescent="0.25">
      <c r="A387" s="7" t="s">
        <v>484</v>
      </c>
      <c r="B387" s="3">
        <v>46057</v>
      </c>
      <c r="C387" s="2" t="s">
        <v>933</v>
      </c>
      <c r="D387" s="2" t="s">
        <v>1445</v>
      </c>
      <c r="E387" s="3">
        <v>38567</v>
      </c>
      <c r="F387" s="2" t="s">
        <v>138</v>
      </c>
      <c r="G387" s="2" t="s">
        <v>138</v>
      </c>
      <c r="H387" s="2" t="s">
        <v>138</v>
      </c>
      <c r="I387" s="2" t="s">
        <v>1054</v>
      </c>
      <c r="J387" s="2" t="s">
        <v>1052</v>
      </c>
      <c r="K387" s="2" t="s">
        <v>1559</v>
      </c>
      <c r="L387" s="2" t="s">
        <v>1568</v>
      </c>
      <c r="M387" s="5" t="s">
        <v>1577</v>
      </c>
      <c r="N387" s="8" t="s">
        <v>1578</v>
      </c>
      <c r="O387" s="2">
        <f ca="1">DATEDIF(Addmisson[[#This Row],[Student_DOB]],TODAY(),"y")</f>
        <v>21</v>
      </c>
      <c r="P387" s="2" t="str">
        <f>TEXT(Addmisson[[#This Row],[Admission_Date]],"mmmm")</f>
        <v>February</v>
      </c>
      <c r="Q387" s="2">
        <f>YEAR(Addmisson[[#This Row],[Admission_Date]])</f>
        <v>2026</v>
      </c>
    </row>
    <row r="388" spans="1:17" x14ac:dyDescent="0.25">
      <c r="A388" s="7" t="s">
        <v>485</v>
      </c>
      <c r="B388" s="3">
        <v>46058</v>
      </c>
      <c r="C388" s="2" t="s">
        <v>934</v>
      </c>
      <c r="D388" s="2" t="s">
        <v>1446</v>
      </c>
      <c r="E388" s="3">
        <v>38313</v>
      </c>
      <c r="F388" s="2" t="s">
        <v>127</v>
      </c>
      <c r="G388" s="2" t="s">
        <v>127</v>
      </c>
      <c r="H388" s="2" t="s">
        <v>141</v>
      </c>
      <c r="I388" s="2" t="s">
        <v>1055</v>
      </c>
      <c r="J388" s="2" t="s">
        <v>1055</v>
      </c>
      <c r="K388" s="2" t="s">
        <v>1560</v>
      </c>
      <c r="L388" s="2" t="s">
        <v>1568</v>
      </c>
      <c r="M388" s="5" t="s">
        <v>1570</v>
      </c>
      <c r="N388" s="8" t="s">
        <v>1578</v>
      </c>
      <c r="O388" s="2">
        <f ca="1">DATEDIF(Addmisson[[#This Row],[Student_DOB]],TODAY(),"y")</f>
        <v>21</v>
      </c>
      <c r="P388" s="2" t="str">
        <f>TEXT(Addmisson[[#This Row],[Admission_Date]],"mmmm")</f>
        <v>February</v>
      </c>
      <c r="Q388" s="2">
        <f>YEAR(Addmisson[[#This Row],[Admission_Date]])</f>
        <v>2026</v>
      </c>
    </row>
    <row r="389" spans="1:17" x14ac:dyDescent="0.25">
      <c r="A389" s="7" t="s">
        <v>486</v>
      </c>
      <c r="B389" s="3">
        <v>46059</v>
      </c>
      <c r="C389" s="2" t="s">
        <v>935</v>
      </c>
      <c r="D389" s="2" t="s">
        <v>1447</v>
      </c>
      <c r="E389" s="3">
        <v>38397</v>
      </c>
      <c r="F389" s="2" t="s">
        <v>138</v>
      </c>
      <c r="G389" s="2" t="s">
        <v>138</v>
      </c>
      <c r="H389" s="2" t="s">
        <v>138</v>
      </c>
      <c r="I389" s="2" t="s">
        <v>16</v>
      </c>
      <c r="J389" s="2" t="s">
        <v>1056</v>
      </c>
      <c r="K389" s="2" t="s">
        <v>1561</v>
      </c>
      <c r="L389" s="2" t="s">
        <v>1568</v>
      </c>
      <c r="M389" s="5" t="s">
        <v>1575</v>
      </c>
      <c r="N389" s="8" t="s">
        <v>1578</v>
      </c>
      <c r="O389" s="2">
        <f ca="1">DATEDIF(Addmisson[[#This Row],[Student_DOB]],TODAY(),"y")</f>
        <v>21</v>
      </c>
      <c r="P389" s="2" t="str">
        <f>TEXT(Addmisson[[#This Row],[Admission_Date]],"mmmm")</f>
        <v>February</v>
      </c>
      <c r="Q389" s="2">
        <f>YEAR(Addmisson[[#This Row],[Admission_Date]])</f>
        <v>2026</v>
      </c>
    </row>
    <row r="390" spans="1:17" x14ac:dyDescent="0.25">
      <c r="A390" s="7" t="s">
        <v>487</v>
      </c>
      <c r="B390" s="3">
        <v>46060</v>
      </c>
      <c r="C390" s="2" t="s">
        <v>936</v>
      </c>
      <c r="D390" s="2" t="s">
        <v>1448</v>
      </c>
      <c r="E390" s="3">
        <v>38235</v>
      </c>
      <c r="F390" s="2" t="s">
        <v>127</v>
      </c>
      <c r="G390" s="2" t="s">
        <v>127</v>
      </c>
      <c r="H390" s="2" t="s">
        <v>141</v>
      </c>
      <c r="I390" s="2" t="s">
        <v>1057</v>
      </c>
      <c r="J390" s="2" t="s">
        <v>1058</v>
      </c>
      <c r="K390" s="2" t="s">
        <v>1562</v>
      </c>
      <c r="L390" s="2" t="s">
        <v>1568</v>
      </c>
      <c r="M390" s="5" t="s">
        <v>1571</v>
      </c>
      <c r="N390" s="8" t="s">
        <v>1578</v>
      </c>
      <c r="O390" s="2">
        <f ca="1">DATEDIF(Addmisson[[#This Row],[Student_DOB]],TODAY(),"y")</f>
        <v>22</v>
      </c>
      <c r="P390" s="2" t="str">
        <f>TEXT(Addmisson[[#This Row],[Admission_Date]],"mmmm")</f>
        <v>February</v>
      </c>
      <c r="Q390" s="2">
        <f>YEAR(Addmisson[[#This Row],[Admission_Date]])</f>
        <v>2026</v>
      </c>
    </row>
    <row r="391" spans="1:17" x14ac:dyDescent="0.25">
      <c r="A391" s="7" t="s">
        <v>488</v>
      </c>
      <c r="B391" s="3">
        <v>46061</v>
      </c>
      <c r="C391" s="2" t="s">
        <v>937</v>
      </c>
      <c r="D391" s="2" t="s">
        <v>1449</v>
      </c>
      <c r="E391" s="3">
        <v>38379</v>
      </c>
      <c r="F391" s="2" t="s">
        <v>129</v>
      </c>
      <c r="G391" s="2" t="s">
        <v>129</v>
      </c>
      <c r="H391" s="2" t="s">
        <v>143</v>
      </c>
      <c r="I391" s="2" t="s">
        <v>1059</v>
      </c>
      <c r="J391" s="2" t="s">
        <v>1059</v>
      </c>
      <c r="K391" s="2" t="s">
        <v>1563</v>
      </c>
      <c r="L391" s="2" t="s">
        <v>1568</v>
      </c>
      <c r="M391" s="5" t="s">
        <v>1572</v>
      </c>
      <c r="N391" s="8" t="s">
        <v>1578</v>
      </c>
      <c r="O391" s="2">
        <f ca="1">DATEDIF(Addmisson[[#This Row],[Student_DOB]],TODAY(),"y")</f>
        <v>21</v>
      </c>
      <c r="P391" s="2" t="str">
        <f>TEXT(Addmisson[[#This Row],[Admission_Date]],"mmmm")</f>
        <v>February</v>
      </c>
      <c r="Q391" s="2">
        <f>YEAR(Addmisson[[#This Row],[Admission_Date]])</f>
        <v>2026</v>
      </c>
    </row>
    <row r="392" spans="1:17" x14ac:dyDescent="0.25">
      <c r="A392" s="7" t="s">
        <v>489</v>
      </c>
      <c r="B392" s="3">
        <v>46062</v>
      </c>
      <c r="C392" s="2" t="s">
        <v>938</v>
      </c>
      <c r="D392" s="2" t="s">
        <v>1450</v>
      </c>
      <c r="E392" s="3">
        <v>38156</v>
      </c>
      <c r="F392" s="2" t="s">
        <v>14</v>
      </c>
      <c r="G392" s="2" t="s">
        <v>14</v>
      </c>
      <c r="H392" s="2" t="s">
        <v>15</v>
      </c>
      <c r="I392" s="2" t="s">
        <v>1060</v>
      </c>
      <c r="J392" s="2" t="s">
        <v>21</v>
      </c>
      <c r="K392" s="2" t="s">
        <v>1564</v>
      </c>
      <c r="L392" s="2" t="s">
        <v>1568</v>
      </c>
      <c r="M392" s="5" t="s">
        <v>1573</v>
      </c>
      <c r="N392" s="8" t="s">
        <v>1578</v>
      </c>
      <c r="O392" s="2">
        <f ca="1">DATEDIF(Addmisson[[#This Row],[Student_DOB]],TODAY(),"y")</f>
        <v>22</v>
      </c>
      <c r="P392" s="2" t="str">
        <f>TEXT(Addmisson[[#This Row],[Admission_Date]],"mmmm")</f>
        <v>February</v>
      </c>
      <c r="Q392" s="2">
        <f>YEAR(Addmisson[[#This Row],[Admission_Date]])</f>
        <v>2026</v>
      </c>
    </row>
    <row r="393" spans="1:17" x14ac:dyDescent="0.25">
      <c r="A393" s="7" t="s">
        <v>490</v>
      </c>
      <c r="B393" s="3">
        <v>46063</v>
      </c>
      <c r="C393" s="2" t="s">
        <v>939</v>
      </c>
      <c r="D393" s="2" t="s">
        <v>1451</v>
      </c>
      <c r="E393" s="3">
        <v>39061</v>
      </c>
      <c r="F393" s="2" t="s">
        <v>145</v>
      </c>
      <c r="G393" s="2" t="s">
        <v>145</v>
      </c>
      <c r="H393" s="2" t="s">
        <v>145</v>
      </c>
      <c r="I393" s="2" t="s">
        <v>1047</v>
      </c>
      <c r="J393" s="2" t="s">
        <v>1048</v>
      </c>
      <c r="K393" s="2" t="s">
        <v>1565</v>
      </c>
      <c r="L393" s="2" t="s">
        <v>1568</v>
      </c>
      <c r="M393" s="5" t="s">
        <v>1574</v>
      </c>
      <c r="N393" s="8" t="s">
        <v>1578</v>
      </c>
      <c r="O393" s="2">
        <f ca="1">DATEDIF(Addmisson[[#This Row],[Student_DOB]],TODAY(),"y")</f>
        <v>19</v>
      </c>
      <c r="P393" s="2" t="str">
        <f>TEXT(Addmisson[[#This Row],[Admission_Date]],"mmmm")</f>
        <v>February</v>
      </c>
      <c r="Q393" s="2">
        <f>YEAR(Addmisson[[#This Row],[Admission_Date]])</f>
        <v>2026</v>
      </c>
    </row>
    <row r="394" spans="1:17" x14ac:dyDescent="0.25">
      <c r="A394" s="7" t="s">
        <v>491</v>
      </c>
      <c r="B394" s="3">
        <v>46064</v>
      </c>
      <c r="C394" s="2" t="s">
        <v>940</v>
      </c>
      <c r="D394" s="2" t="s">
        <v>1452</v>
      </c>
      <c r="E394" s="3">
        <v>38100</v>
      </c>
      <c r="F394" s="2" t="s">
        <v>127</v>
      </c>
      <c r="G394" s="2" t="s">
        <v>127</v>
      </c>
      <c r="H394" s="2" t="s">
        <v>144</v>
      </c>
      <c r="I394" s="2" t="s">
        <v>1049</v>
      </c>
      <c r="J394" s="2" t="s">
        <v>1050</v>
      </c>
      <c r="K394" s="2" t="s">
        <v>1558</v>
      </c>
      <c r="L394" s="2" t="s">
        <v>1568</v>
      </c>
      <c r="M394" s="5" t="s">
        <v>1576</v>
      </c>
      <c r="N394" s="8" t="s">
        <v>1578</v>
      </c>
      <c r="O394" s="2">
        <f ca="1">DATEDIF(Addmisson[[#This Row],[Student_DOB]],TODAY(),"y")</f>
        <v>22</v>
      </c>
      <c r="P394" s="2" t="str">
        <f>TEXT(Addmisson[[#This Row],[Admission_Date]],"mmmm")</f>
        <v>February</v>
      </c>
      <c r="Q394" s="2">
        <f>YEAR(Addmisson[[#This Row],[Admission_Date]])</f>
        <v>2026</v>
      </c>
    </row>
    <row r="395" spans="1:17" x14ac:dyDescent="0.25">
      <c r="A395" s="7" t="s">
        <v>492</v>
      </c>
      <c r="B395" s="3">
        <v>46065</v>
      </c>
      <c r="C395" s="2" t="s">
        <v>941</v>
      </c>
      <c r="D395" s="2" t="s">
        <v>1453</v>
      </c>
      <c r="E395" s="3">
        <v>38539</v>
      </c>
      <c r="F395" s="2" t="s">
        <v>129</v>
      </c>
      <c r="G395" s="2" t="s">
        <v>129</v>
      </c>
      <c r="H395" s="2" t="s">
        <v>147</v>
      </c>
      <c r="I395" s="2" t="s">
        <v>1051</v>
      </c>
      <c r="J395" s="2" t="s">
        <v>1052</v>
      </c>
      <c r="K395" s="2" t="s">
        <v>1559</v>
      </c>
      <c r="L395" s="2" t="s">
        <v>1568</v>
      </c>
      <c r="M395" s="5" t="s">
        <v>1577</v>
      </c>
      <c r="N395" s="8" t="s">
        <v>1578</v>
      </c>
      <c r="O395" s="2">
        <f ca="1">DATEDIF(Addmisson[[#This Row],[Student_DOB]],TODAY(),"y")</f>
        <v>21</v>
      </c>
      <c r="P395" s="2" t="str">
        <f>TEXT(Addmisson[[#This Row],[Admission_Date]],"mmmm")</f>
        <v>February</v>
      </c>
      <c r="Q395" s="2">
        <f>YEAR(Addmisson[[#This Row],[Admission_Date]])</f>
        <v>2026</v>
      </c>
    </row>
    <row r="396" spans="1:17" x14ac:dyDescent="0.25">
      <c r="A396" s="7" t="s">
        <v>493</v>
      </c>
      <c r="B396" s="3">
        <v>46066</v>
      </c>
      <c r="C396" s="2" t="s">
        <v>942</v>
      </c>
      <c r="D396" s="2" t="s">
        <v>1454</v>
      </c>
      <c r="E396" s="3">
        <v>38230</v>
      </c>
      <c r="F396" s="2" t="s">
        <v>27</v>
      </c>
      <c r="G396" s="2" t="s">
        <v>27</v>
      </c>
      <c r="H396" s="2" t="s">
        <v>131</v>
      </c>
      <c r="I396" s="2" t="s">
        <v>1053</v>
      </c>
      <c r="J396" s="2" t="s">
        <v>1052</v>
      </c>
      <c r="K396" s="2" t="s">
        <v>1560</v>
      </c>
      <c r="L396" s="2" t="s">
        <v>1568</v>
      </c>
      <c r="M396" s="5" t="s">
        <v>1570</v>
      </c>
      <c r="N396" s="8" t="s">
        <v>1578</v>
      </c>
      <c r="O396" s="2">
        <f ca="1">DATEDIF(Addmisson[[#This Row],[Student_DOB]],TODAY(),"y")</f>
        <v>22</v>
      </c>
      <c r="P396" s="2" t="str">
        <f>TEXT(Addmisson[[#This Row],[Admission_Date]],"mmmm")</f>
        <v>February</v>
      </c>
      <c r="Q396" s="2">
        <f>YEAR(Addmisson[[#This Row],[Admission_Date]])</f>
        <v>2026</v>
      </c>
    </row>
    <row r="397" spans="1:17" x14ac:dyDescent="0.25">
      <c r="A397" s="7" t="s">
        <v>494</v>
      </c>
      <c r="B397" s="3">
        <v>46067</v>
      </c>
      <c r="C397" s="2" t="s">
        <v>943</v>
      </c>
      <c r="D397" s="2" t="s">
        <v>1455</v>
      </c>
      <c r="E397" s="3">
        <v>38423</v>
      </c>
      <c r="F397" s="2" t="s">
        <v>127</v>
      </c>
      <c r="G397" s="2" t="s">
        <v>127</v>
      </c>
      <c r="H397" s="2" t="s">
        <v>146</v>
      </c>
      <c r="I397" s="2" t="s">
        <v>1054</v>
      </c>
      <c r="J397" s="2" t="s">
        <v>1052</v>
      </c>
      <c r="K397" s="2" t="s">
        <v>1561</v>
      </c>
      <c r="L397" s="2" t="s">
        <v>1568</v>
      </c>
      <c r="M397" s="5" t="s">
        <v>1575</v>
      </c>
      <c r="N397" s="8" t="s">
        <v>1578</v>
      </c>
      <c r="O397" s="2">
        <f ca="1">DATEDIF(Addmisson[[#This Row],[Student_DOB]],TODAY(),"y")</f>
        <v>21</v>
      </c>
      <c r="P397" s="2" t="str">
        <f>TEXT(Addmisson[[#This Row],[Admission_Date]],"mmmm")</f>
        <v>February</v>
      </c>
      <c r="Q397" s="2">
        <f>YEAR(Addmisson[[#This Row],[Admission_Date]])</f>
        <v>2026</v>
      </c>
    </row>
    <row r="398" spans="1:17" x14ac:dyDescent="0.25">
      <c r="A398" s="7" t="s">
        <v>495</v>
      </c>
      <c r="B398" s="3">
        <v>46068</v>
      </c>
      <c r="C398" s="2" t="s">
        <v>944</v>
      </c>
      <c r="D398" s="2" t="s">
        <v>1456</v>
      </c>
      <c r="E398" s="3">
        <v>37995</v>
      </c>
      <c r="F398" s="2" t="s">
        <v>142</v>
      </c>
      <c r="G398" s="2" t="s">
        <v>142</v>
      </c>
      <c r="H398" s="2" t="s">
        <v>142</v>
      </c>
      <c r="I398" s="2" t="s">
        <v>1055</v>
      </c>
      <c r="J398" s="2" t="s">
        <v>1055</v>
      </c>
      <c r="K398" s="2" t="s">
        <v>1562</v>
      </c>
      <c r="L398" s="2" t="s">
        <v>1568</v>
      </c>
      <c r="M398" s="5" t="s">
        <v>1571</v>
      </c>
      <c r="N398" s="8" t="s">
        <v>1578</v>
      </c>
      <c r="O398" s="2">
        <f ca="1">DATEDIF(Addmisson[[#This Row],[Student_DOB]],TODAY(),"y")</f>
        <v>22</v>
      </c>
      <c r="P398" s="2" t="str">
        <f>TEXT(Addmisson[[#This Row],[Admission_Date]],"mmmm")</f>
        <v>February</v>
      </c>
      <c r="Q398" s="2">
        <f>YEAR(Addmisson[[#This Row],[Admission_Date]])</f>
        <v>2026</v>
      </c>
    </row>
    <row r="399" spans="1:17" x14ac:dyDescent="0.25">
      <c r="A399" s="7" t="s">
        <v>496</v>
      </c>
      <c r="B399" s="3">
        <v>46069</v>
      </c>
      <c r="C399" s="2" t="s">
        <v>945</v>
      </c>
      <c r="D399" s="2" t="s">
        <v>1457</v>
      </c>
      <c r="E399" s="3">
        <v>38528</v>
      </c>
      <c r="F399" s="2" t="s">
        <v>129</v>
      </c>
      <c r="G399" s="2" t="s">
        <v>129</v>
      </c>
      <c r="H399" s="2" t="s">
        <v>130</v>
      </c>
      <c r="I399" s="2" t="s">
        <v>16</v>
      </c>
      <c r="J399" s="2" t="s">
        <v>1056</v>
      </c>
      <c r="K399" s="2" t="s">
        <v>1563</v>
      </c>
      <c r="L399" s="2" t="s">
        <v>1568</v>
      </c>
      <c r="M399" s="5" t="s">
        <v>1572</v>
      </c>
      <c r="N399" s="8" t="s">
        <v>1578</v>
      </c>
      <c r="O399" s="2">
        <f ca="1">DATEDIF(Addmisson[[#This Row],[Student_DOB]],TODAY(),"y")</f>
        <v>21</v>
      </c>
      <c r="P399" s="2" t="str">
        <f>TEXT(Addmisson[[#This Row],[Admission_Date]],"mmmm")</f>
        <v>February</v>
      </c>
      <c r="Q399" s="2">
        <f>YEAR(Addmisson[[#This Row],[Admission_Date]])</f>
        <v>2026</v>
      </c>
    </row>
    <row r="400" spans="1:17" x14ac:dyDescent="0.25">
      <c r="A400" s="7" t="s">
        <v>497</v>
      </c>
      <c r="B400" s="3">
        <v>46070</v>
      </c>
      <c r="C400" s="2" t="s">
        <v>946</v>
      </c>
      <c r="D400" s="2" t="s">
        <v>1458</v>
      </c>
      <c r="E400" s="3">
        <v>38124</v>
      </c>
      <c r="F400" s="2" t="s">
        <v>127</v>
      </c>
      <c r="G400" s="2" t="s">
        <v>127</v>
      </c>
      <c r="H400" s="2" t="s">
        <v>128</v>
      </c>
      <c r="I400" s="2" t="s">
        <v>1057</v>
      </c>
      <c r="J400" s="2" t="s">
        <v>1058</v>
      </c>
      <c r="K400" s="2" t="s">
        <v>1564</v>
      </c>
      <c r="L400" s="2" t="s">
        <v>1568</v>
      </c>
      <c r="M400" s="5" t="s">
        <v>1573</v>
      </c>
      <c r="N400" s="8" t="s">
        <v>1578</v>
      </c>
      <c r="O400" s="2">
        <f ca="1">DATEDIF(Addmisson[[#This Row],[Student_DOB]],TODAY(),"y")</f>
        <v>22</v>
      </c>
      <c r="P400" s="2" t="str">
        <f>TEXT(Addmisson[[#This Row],[Admission_Date]],"mmmm")</f>
        <v>February</v>
      </c>
      <c r="Q400" s="2">
        <f>YEAR(Addmisson[[#This Row],[Admission_Date]])</f>
        <v>2026</v>
      </c>
    </row>
    <row r="401" spans="1:17" x14ac:dyDescent="0.25">
      <c r="A401" s="7" t="s">
        <v>498</v>
      </c>
      <c r="B401" s="3">
        <v>46071</v>
      </c>
      <c r="C401" s="2" t="s">
        <v>947</v>
      </c>
      <c r="D401" s="2" t="s">
        <v>1459</v>
      </c>
      <c r="E401" s="3">
        <v>38627</v>
      </c>
      <c r="F401" s="2" t="s">
        <v>148</v>
      </c>
      <c r="G401" s="2" t="s">
        <v>148</v>
      </c>
      <c r="H401" s="2" t="s">
        <v>148</v>
      </c>
      <c r="I401" s="2" t="s">
        <v>1059</v>
      </c>
      <c r="J401" s="2" t="s">
        <v>1059</v>
      </c>
      <c r="K401" s="2" t="s">
        <v>1565</v>
      </c>
      <c r="L401" s="2" t="s">
        <v>1568</v>
      </c>
      <c r="M401" s="5" t="s">
        <v>1570</v>
      </c>
      <c r="N401" s="8" t="s">
        <v>1578</v>
      </c>
      <c r="O401" s="2">
        <f ca="1">DATEDIF(Addmisson[[#This Row],[Student_DOB]],TODAY(),"y")</f>
        <v>21</v>
      </c>
      <c r="P401" s="2" t="str">
        <f>TEXT(Addmisson[[#This Row],[Admission_Date]],"mmmm")</f>
        <v>February</v>
      </c>
      <c r="Q401" s="2">
        <f>YEAR(Addmisson[[#This Row],[Admission_Date]])</f>
        <v>2026</v>
      </c>
    </row>
    <row r="402" spans="1:17" x14ac:dyDescent="0.25">
      <c r="A402" s="7" t="s">
        <v>499</v>
      </c>
      <c r="B402" s="3">
        <v>46072</v>
      </c>
      <c r="C402" s="2" t="s">
        <v>948</v>
      </c>
      <c r="D402" s="2" t="s">
        <v>1460</v>
      </c>
      <c r="E402" s="3">
        <v>38349</v>
      </c>
      <c r="F402" s="2" t="s">
        <v>14</v>
      </c>
      <c r="G402" s="2" t="s">
        <v>14</v>
      </c>
      <c r="H402" s="2" t="s">
        <v>132</v>
      </c>
      <c r="I402" s="2" t="s">
        <v>1060</v>
      </c>
      <c r="J402" s="2" t="s">
        <v>21</v>
      </c>
      <c r="K402" s="2" t="s">
        <v>1558</v>
      </c>
      <c r="L402" s="2" t="s">
        <v>1568</v>
      </c>
      <c r="M402" s="5" t="s">
        <v>1575</v>
      </c>
      <c r="N402" s="8" t="s">
        <v>1578</v>
      </c>
      <c r="O402" s="2">
        <f ca="1">DATEDIF(Addmisson[[#This Row],[Student_DOB]],TODAY(),"y")</f>
        <v>21</v>
      </c>
      <c r="P402" s="2" t="str">
        <f>TEXT(Addmisson[[#This Row],[Admission_Date]],"mmmm")</f>
        <v>February</v>
      </c>
      <c r="Q402" s="2">
        <f>YEAR(Addmisson[[#This Row],[Admission_Date]])</f>
        <v>2026</v>
      </c>
    </row>
    <row r="403" spans="1:17" x14ac:dyDescent="0.25">
      <c r="A403" s="7" t="s">
        <v>500</v>
      </c>
      <c r="B403" s="3">
        <v>46073</v>
      </c>
      <c r="C403" s="2" t="s">
        <v>949</v>
      </c>
      <c r="D403" s="2" t="s">
        <v>1461</v>
      </c>
      <c r="E403" s="3">
        <v>38455</v>
      </c>
      <c r="F403" s="2" t="s">
        <v>127</v>
      </c>
      <c r="G403" s="2" t="s">
        <v>127</v>
      </c>
      <c r="H403" s="2" t="s">
        <v>133</v>
      </c>
      <c r="I403" s="2" t="s">
        <v>1047</v>
      </c>
      <c r="J403" s="2" t="s">
        <v>1048</v>
      </c>
      <c r="K403" s="2" t="s">
        <v>1559</v>
      </c>
      <c r="L403" s="2" t="s">
        <v>1568</v>
      </c>
      <c r="M403" s="5" t="s">
        <v>1571</v>
      </c>
      <c r="N403" s="8" t="s">
        <v>1578</v>
      </c>
      <c r="O403" s="2">
        <f ca="1">DATEDIF(Addmisson[[#This Row],[Student_DOB]],TODAY(),"y")</f>
        <v>21</v>
      </c>
      <c r="P403" s="2" t="str">
        <f>TEXT(Addmisson[[#This Row],[Admission_Date]],"mmmm")</f>
        <v>February</v>
      </c>
      <c r="Q403" s="2">
        <f>YEAR(Addmisson[[#This Row],[Admission_Date]])</f>
        <v>2026</v>
      </c>
    </row>
    <row r="404" spans="1:17" x14ac:dyDescent="0.25">
      <c r="A404" s="7" t="s">
        <v>501</v>
      </c>
      <c r="B404" s="3">
        <v>46074</v>
      </c>
      <c r="C404" s="2" t="s">
        <v>950</v>
      </c>
      <c r="D404" s="2" t="s">
        <v>1462</v>
      </c>
      <c r="E404" s="3">
        <v>38172</v>
      </c>
      <c r="F404" s="2" t="s">
        <v>138</v>
      </c>
      <c r="G404" s="2" t="s">
        <v>138</v>
      </c>
      <c r="H404" s="2" t="s">
        <v>138</v>
      </c>
      <c r="I404" s="2" t="s">
        <v>1049</v>
      </c>
      <c r="J404" s="2" t="s">
        <v>1050</v>
      </c>
      <c r="K404" s="2" t="s">
        <v>1560</v>
      </c>
      <c r="L404" s="2" t="s">
        <v>1568</v>
      </c>
      <c r="M404" s="5" t="s">
        <v>1572</v>
      </c>
      <c r="N404" s="8" t="s">
        <v>1578</v>
      </c>
      <c r="O404" s="2">
        <f ca="1">DATEDIF(Addmisson[[#This Row],[Student_DOB]],TODAY(),"y")</f>
        <v>22</v>
      </c>
      <c r="P404" s="2" t="str">
        <f>TEXT(Addmisson[[#This Row],[Admission_Date]],"mmmm")</f>
        <v>February</v>
      </c>
      <c r="Q404" s="2">
        <f>YEAR(Addmisson[[#This Row],[Admission_Date]])</f>
        <v>2026</v>
      </c>
    </row>
    <row r="405" spans="1:17" x14ac:dyDescent="0.25">
      <c r="A405" s="7" t="s">
        <v>502</v>
      </c>
      <c r="B405" s="3">
        <v>46075</v>
      </c>
      <c r="C405" s="2" t="s">
        <v>951</v>
      </c>
      <c r="D405" s="2" t="s">
        <v>1463</v>
      </c>
      <c r="E405" s="3">
        <v>37581</v>
      </c>
      <c r="F405" s="2" t="s">
        <v>127</v>
      </c>
      <c r="G405" s="2" t="s">
        <v>127</v>
      </c>
      <c r="H405" s="2" t="s">
        <v>141</v>
      </c>
      <c r="I405" s="2" t="s">
        <v>1051</v>
      </c>
      <c r="J405" s="2" t="s">
        <v>1052</v>
      </c>
      <c r="K405" s="2" t="s">
        <v>1561</v>
      </c>
      <c r="L405" s="2" t="s">
        <v>1568</v>
      </c>
      <c r="M405" s="5" t="s">
        <v>1573</v>
      </c>
      <c r="N405" s="8" t="s">
        <v>1578</v>
      </c>
      <c r="O405" s="2">
        <f ca="1">DATEDIF(Addmisson[[#This Row],[Student_DOB]],TODAY(),"y")</f>
        <v>23</v>
      </c>
      <c r="P405" s="2" t="str">
        <f>TEXT(Addmisson[[#This Row],[Admission_Date]],"mmmm")</f>
        <v>February</v>
      </c>
      <c r="Q405" s="2">
        <f>YEAR(Addmisson[[#This Row],[Admission_Date]])</f>
        <v>2026</v>
      </c>
    </row>
    <row r="406" spans="1:17" x14ac:dyDescent="0.25">
      <c r="A406" s="7" t="s">
        <v>503</v>
      </c>
      <c r="B406" s="3">
        <v>46076</v>
      </c>
      <c r="C406" s="2" t="s">
        <v>952</v>
      </c>
      <c r="D406" s="2" t="s">
        <v>1464</v>
      </c>
      <c r="E406" s="3">
        <v>38001</v>
      </c>
      <c r="F406" s="2" t="s">
        <v>129</v>
      </c>
      <c r="G406" s="2" t="s">
        <v>129</v>
      </c>
      <c r="H406" s="2" t="s">
        <v>143</v>
      </c>
      <c r="I406" s="2" t="s">
        <v>1053</v>
      </c>
      <c r="J406" s="2" t="s">
        <v>1052</v>
      </c>
      <c r="K406" s="2" t="s">
        <v>1562</v>
      </c>
      <c r="L406" s="2" t="s">
        <v>1568</v>
      </c>
      <c r="M406" s="5" t="s">
        <v>1574</v>
      </c>
      <c r="N406" s="8" t="s">
        <v>1578</v>
      </c>
      <c r="O406" s="2">
        <f ca="1">DATEDIF(Addmisson[[#This Row],[Student_DOB]],TODAY(),"y")</f>
        <v>22</v>
      </c>
      <c r="P406" s="2" t="str">
        <f>TEXT(Addmisson[[#This Row],[Admission_Date]],"mmmm")</f>
        <v>February</v>
      </c>
      <c r="Q406" s="2">
        <f>YEAR(Addmisson[[#This Row],[Admission_Date]])</f>
        <v>2026</v>
      </c>
    </row>
    <row r="407" spans="1:17" x14ac:dyDescent="0.25">
      <c r="A407" s="7" t="s">
        <v>504</v>
      </c>
      <c r="B407" s="3">
        <v>46077</v>
      </c>
      <c r="C407" s="2" t="s">
        <v>953</v>
      </c>
      <c r="D407" s="2" t="s">
        <v>1465</v>
      </c>
      <c r="E407" s="3">
        <v>38502</v>
      </c>
      <c r="F407" s="2" t="s">
        <v>14</v>
      </c>
      <c r="G407" s="2" t="s">
        <v>14</v>
      </c>
      <c r="H407" s="2" t="s">
        <v>15</v>
      </c>
      <c r="I407" s="2" t="s">
        <v>1054</v>
      </c>
      <c r="J407" s="2" t="s">
        <v>1052</v>
      </c>
      <c r="K407" s="2" t="s">
        <v>1563</v>
      </c>
      <c r="L407" s="2" t="s">
        <v>1568</v>
      </c>
      <c r="M407" s="5" t="s">
        <v>1576</v>
      </c>
      <c r="N407" s="8" t="s">
        <v>1578</v>
      </c>
      <c r="O407" s="2">
        <f ca="1">DATEDIF(Addmisson[[#This Row],[Student_DOB]],TODAY(),"y")</f>
        <v>21</v>
      </c>
      <c r="P407" s="2" t="str">
        <f>TEXT(Addmisson[[#This Row],[Admission_Date]],"mmmm")</f>
        <v>February</v>
      </c>
      <c r="Q407" s="2">
        <f>YEAR(Addmisson[[#This Row],[Admission_Date]])</f>
        <v>2026</v>
      </c>
    </row>
    <row r="408" spans="1:17" x14ac:dyDescent="0.25">
      <c r="A408" s="7" t="s">
        <v>505</v>
      </c>
      <c r="B408" s="3">
        <v>46078</v>
      </c>
      <c r="C408" s="2" t="s">
        <v>954</v>
      </c>
      <c r="D408" s="2" t="s">
        <v>1466</v>
      </c>
      <c r="E408" s="3">
        <v>38268</v>
      </c>
      <c r="F408" s="2" t="s">
        <v>145</v>
      </c>
      <c r="G408" s="2" t="s">
        <v>145</v>
      </c>
      <c r="H408" s="2" t="s">
        <v>145</v>
      </c>
      <c r="I408" s="2" t="s">
        <v>1055</v>
      </c>
      <c r="J408" s="2" t="s">
        <v>1055</v>
      </c>
      <c r="K408" s="2" t="s">
        <v>1564</v>
      </c>
      <c r="L408" s="2" t="s">
        <v>1568</v>
      </c>
      <c r="M408" s="5" t="s">
        <v>1577</v>
      </c>
      <c r="N408" s="8" t="s">
        <v>1578</v>
      </c>
      <c r="O408" s="2">
        <f ca="1">DATEDIF(Addmisson[[#This Row],[Student_DOB]],TODAY(),"y")</f>
        <v>22</v>
      </c>
      <c r="P408" s="2" t="str">
        <f>TEXT(Addmisson[[#This Row],[Admission_Date]],"mmmm")</f>
        <v>February</v>
      </c>
      <c r="Q408" s="2">
        <f>YEAR(Addmisson[[#This Row],[Admission_Date]])</f>
        <v>2026</v>
      </c>
    </row>
    <row r="409" spans="1:17" x14ac:dyDescent="0.25">
      <c r="A409" s="7" t="s">
        <v>506</v>
      </c>
      <c r="B409" s="3">
        <v>46079</v>
      </c>
      <c r="C409" s="2" t="s">
        <v>955</v>
      </c>
      <c r="D409" s="2" t="s">
        <v>1467</v>
      </c>
      <c r="E409" s="3">
        <v>38402</v>
      </c>
      <c r="F409" s="2" t="s">
        <v>127</v>
      </c>
      <c r="G409" s="2" t="s">
        <v>127</v>
      </c>
      <c r="H409" s="2" t="s">
        <v>144</v>
      </c>
      <c r="I409" s="2" t="s">
        <v>16</v>
      </c>
      <c r="J409" s="2" t="s">
        <v>1056</v>
      </c>
      <c r="K409" s="2" t="s">
        <v>1565</v>
      </c>
      <c r="L409" s="2" t="s">
        <v>1568</v>
      </c>
      <c r="M409" s="5" t="s">
        <v>1570</v>
      </c>
      <c r="N409" s="8" t="s">
        <v>1578</v>
      </c>
      <c r="O409" s="2">
        <f ca="1">DATEDIF(Addmisson[[#This Row],[Student_DOB]],TODAY(),"y")</f>
        <v>21</v>
      </c>
      <c r="P409" s="2" t="str">
        <f>TEXT(Addmisson[[#This Row],[Admission_Date]],"mmmm")</f>
        <v>February</v>
      </c>
      <c r="Q409" s="2">
        <f>YEAR(Addmisson[[#This Row],[Admission_Date]])</f>
        <v>2026</v>
      </c>
    </row>
    <row r="410" spans="1:17" x14ac:dyDescent="0.25">
      <c r="A410" s="7" t="s">
        <v>507</v>
      </c>
      <c r="B410" s="3">
        <v>46080</v>
      </c>
      <c r="C410" s="2" t="s">
        <v>956</v>
      </c>
      <c r="D410" s="2" t="s">
        <v>1468</v>
      </c>
      <c r="E410" s="3">
        <v>38072</v>
      </c>
      <c r="F410" s="2" t="s">
        <v>129</v>
      </c>
      <c r="G410" s="2" t="s">
        <v>129</v>
      </c>
      <c r="H410" s="2" t="s">
        <v>147</v>
      </c>
      <c r="I410" s="2" t="s">
        <v>1057</v>
      </c>
      <c r="J410" s="2" t="s">
        <v>1058</v>
      </c>
      <c r="K410" s="2" t="s">
        <v>1558</v>
      </c>
      <c r="L410" s="2" t="s">
        <v>1568</v>
      </c>
      <c r="M410" s="5" t="s">
        <v>1575</v>
      </c>
      <c r="N410" s="8" t="s">
        <v>1578</v>
      </c>
      <c r="O410" s="2">
        <f ca="1">DATEDIF(Addmisson[[#This Row],[Student_DOB]],TODAY(),"y")</f>
        <v>22</v>
      </c>
      <c r="P410" s="2" t="str">
        <f>TEXT(Addmisson[[#This Row],[Admission_Date]],"mmmm")</f>
        <v>February</v>
      </c>
      <c r="Q410" s="2">
        <f>YEAR(Addmisson[[#This Row],[Admission_Date]])</f>
        <v>2026</v>
      </c>
    </row>
    <row r="411" spans="1:17" x14ac:dyDescent="0.25">
      <c r="A411" s="7" t="s">
        <v>508</v>
      </c>
      <c r="B411" s="3">
        <v>46081</v>
      </c>
      <c r="C411" s="2" t="s">
        <v>957</v>
      </c>
      <c r="D411" s="2" t="s">
        <v>1469</v>
      </c>
      <c r="E411" s="3">
        <v>38606</v>
      </c>
      <c r="F411" s="2" t="s">
        <v>27</v>
      </c>
      <c r="G411" s="2" t="s">
        <v>27</v>
      </c>
      <c r="H411" s="2" t="s">
        <v>131</v>
      </c>
      <c r="I411" s="2" t="s">
        <v>1059</v>
      </c>
      <c r="J411" s="2" t="s">
        <v>1059</v>
      </c>
      <c r="K411" s="2" t="s">
        <v>1559</v>
      </c>
      <c r="L411" s="2" t="s">
        <v>1568</v>
      </c>
      <c r="M411" s="5" t="s">
        <v>1571</v>
      </c>
      <c r="N411" s="8" t="s">
        <v>1578</v>
      </c>
      <c r="O411" s="2">
        <f ca="1">DATEDIF(Addmisson[[#This Row],[Student_DOB]],TODAY(),"y")</f>
        <v>21</v>
      </c>
      <c r="P411" s="2" t="str">
        <f>TEXT(Addmisson[[#This Row],[Admission_Date]],"mmmm")</f>
        <v>February</v>
      </c>
      <c r="Q411" s="2">
        <f>YEAR(Addmisson[[#This Row],[Admission_Date]])</f>
        <v>2026</v>
      </c>
    </row>
    <row r="412" spans="1:17" x14ac:dyDescent="0.25">
      <c r="A412" s="7" t="s">
        <v>509</v>
      </c>
      <c r="B412" s="3">
        <v>46082</v>
      </c>
      <c r="C412" s="2" t="s">
        <v>958</v>
      </c>
      <c r="D412" s="2" t="s">
        <v>1470</v>
      </c>
      <c r="E412" s="3">
        <v>39602</v>
      </c>
      <c r="F412" s="2" t="s">
        <v>127</v>
      </c>
      <c r="G412" s="2" t="s">
        <v>127</v>
      </c>
      <c r="H412" s="2" t="s">
        <v>146</v>
      </c>
      <c r="I412" s="2" t="s">
        <v>1060</v>
      </c>
      <c r="J412" s="2" t="s">
        <v>21</v>
      </c>
      <c r="K412" s="2" t="s">
        <v>1560</v>
      </c>
      <c r="L412" s="2" t="s">
        <v>1568</v>
      </c>
      <c r="M412" s="5" t="s">
        <v>1572</v>
      </c>
      <c r="N412" s="8" t="s">
        <v>1578</v>
      </c>
      <c r="O412" s="2">
        <f ca="1">DATEDIF(Addmisson[[#This Row],[Student_DOB]],TODAY(),"y")</f>
        <v>18</v>
      </c>
      <c r="P412" s="2" t="str">
        <f>TEXT(Addmisson[[#This Row],[Admission_Date]],"mmmm")</f>
        <v>March</v>
      </c>
      <c r="Q412" s="2">
        <f>YEAR(Addmisson[[#This Row],[Admission_Date]])</f>
        <v>2026</v>
      </c>
    </row>
    <row r="413" spans="1:17" x14ac:dyDescent="0.25">
      <c r="A413" s="7" t="s">
        <v>510</v>
      </c>
      <c r="B413" s="3">
        <v>46083</v>
      </c>
      <c r="C413" s="2" t="s">
        <v>959</v>
      </c>
      <c r="D413" s="2" t="s">
        <v>1471</v>
      </c>
      <c r="E413" s="3">
        <v>38376</v>
      </c>
      <c r="F413" s="2" t="s">
        <v>142</v>
      </c>
      <c r="G413" s="2" t="s">
        <v>142</v>
      </c>
      <c r="H413" s="2" t="s">
        <v>142</v>
      </c>
      <c r="I413" s="2" t="s">
        <v>1047</v>
      </c>
      <c r="J413" s="2" t="s">
        <v>1048</v>
      </c>
      <c r="K413" s="2" t="s">
        <v>1561</v>
      </c>
      <c r="L413" s="2" t="s">
        <v>1568</v>
      </c>
      <c r="M413" s="5" t="s">
        <v>1573</v>
      </c>
      <c r="N413" s="8" t="s">
        <v>1578</v>
      </c>
      <c r="O413" s="2">
        <f ca="1">DATEDIF(Addmisson[[#This Row],[Student_DOB]],TODAY(),"y")</f>
        <v>21</v>
      </c>
      <c r="P413" s="2" t="str">
        <f>TEXT(Addmisson[[#This Row],[Admission_Date]],"mmmm")</f>
        <v>March</v>
      </c>
      <c r="Q413" s="2">
        <f>YEAR(Addmisson[[#This Row],[Admission_Date]])</f>
        <v>2026</v>
      </c>
    </row>
    <row r="414" spans="1:17" x14ac:dyDescent="0.25">
      <c r="A414" s="7" t="s">
        <v>511</v>
      </c>
      <c r="B414" s="3">
        <v>46084</v>
      </c>
      <c r="C414" s="2" t="s">
        <v>960</v>
      </c>
      <c r="D414" s="2" t="s">
        <v>1472</v>
      </c>
      <c r="E414" s="3">
        <v>38215</v>
      </c>
      <c r="F414" s="2" t="s">
        <v>129</v>
      </c>
      <c r="G414" s="2" t="s">
        <v>129</v>
      </c>
      <c r="H414" s="2" t="s">
        <v>130</v>
      </c>
      <c r="I414" s="2" t="s">
        <v>1049</v>
      </c>
      <c r="J414" s="2" t="s">
        <v>1050</v>
      </c>
      <c r="K414" s="2" t="s">
        <v>1562</v>
      </c>
      <c r="L414" s="2" t="s">
        <v>1568</v>
      </c>
      <c r="M414" s="5" t="s">
        <v>1574</v>
      </c>
      <c r="N414" s="8" t="s">
        <v>1578</v>
      </c>
      <c r="O414" s="2">
        <f ca="1">DATEDIF(Addmisson[[#This Row],[Student_DOB]],TODAY(),"y")</f>
        <v>22</v>
      </c>
      <c r="P414" s="2" t="str">
        <f>TEXT(Addmisson[[#This Row],[Admission_Date]],"mmmm")</f>
        <v>March</v>
      </c>
      <c r="Q414" s="2">
        <f>YEAR(Addmisson[[#This Row],[Admission_Date]])</f>
        <v>2026</v>
      </c>
    </row>
    <row r="415" spans="1:17" x14ac:dyDescent="0.25">
      <c r="A415" s="7" t="s">
        <v>512</v>
      </c>
      <c r="B415" s="3">
        <v>46085</v>
      </c>
      <c r="C415" s="2" t="s">
        <v>961</v>
      </c>
      <c r="D415" s="2" t="s">
        <v>1473</v>
      </c>
      <c r="E415" s="3">
        <v>38449</v>
      </c>
      <c r="F415" s="2" t="s">
        <v>127</v>
      </c>
      <c r="G415" s="2" t="s">
        <v>127</v>
      </c>
      <c r="H415" s="2" t="s">
        <v>128</v>
      </c>
      <c r="I415" s="2" t="s">
        <v>1051</v>
      </c>
      <c r="J415" s="2" t="s">
        <v>1052</v>
      </c>
      <c r="K415" s="2" t="s">
        <v>1563</v>
      </c>
      <c r="L415" s="2" t="s">
        <v>1568</v>
      </c>
      <c r="M415" s="5" t="s">
        <v>1576</v>
      </c>
      <c r="N415" s="8" t="s">
        <v>1578</v>
      </c>
      <c r="O415" s="2">
        <f ca="1">DATEDIF(Addmisson[[#This Row],[Student_DOB]],TODAY(),"y")</f>
        <v>21</v>
      </c>
      <c r="P415" s="2" t="str">
        <f>TEXT(Addmisson[[#This Row],[Admission_Date]],"mmmm")</f>
        <v>March</v>
      </c>
      <c r="Q415" s="2">
        <f>YEAR(Addmisson[[#This Row],[Admission_Date]])</f>
        <v>2026</v>
      </c>
    </row>
    <row r="416" spans="1:17" x14ac:dyDescent="0.25">
      <c r="A416" s="7" t="s">
        <v>513</v>
      </c>
      <c r="B416" s="3">
        <v>46086</v>
      </c>
      <c r="C416" s="2" t="s">
        <v>962</v>
      </c>
      <c r="D416" s="2" t="s">
        <v>1474</v>
      </c>
      <c r="E416" s="3">
        <v>38343</v>
      </c>
      <c r="F416" s="2" t="s">
        <v>148</v>
      </c>
      <c r="G416" s="2" t="s">
        <v>148</v>
      </c>
      <c r="H416" s="2" t="s">
        <v>148</v>
      </c>
      <c r="I416" s="2" t="s">
        <v>1053</v>
      </c>
      <c r="J416" s="2" t="s">
        <v>1052</v>
      </c>
      <c r="K416" s="2" t="s">
        <v>1564</v>
      </c>
      <c r="L416" s="2" t="s">
        <v>1568</v>
      </c>
      <c r="M416" s="5" t="s">
        <v>1577</v>
      </c>
      <c r="N416" s="8" t="s">
        <v>1578</v>
      </c>
      <c r="O416" s="2">
        <f ca="1">DATEDIF(Addmisson[[#This Row],[Student_DOB]],TODAY(),"y")</f>
        <v>21</v>
      </c>
      <c r="P416" s="2" t="str">
        <f>TEXT(Addmisson[[#This Row],[Admission_Date]],"mmmm")</f>
        <v>March</v>
      </c>
      <c r="Q416" s="2">
        <f>YEAR(Addmisson[[#This Row],[Admission_Date]])</f>
        <v>2026</v>
      </c>
    </row>
    <row r="417" spans="1:17" x14ac:dyDescent="0.25">
      <c r="A417" s="7" t="s">
        <v>514</v>
      </c>
      <c r="B417" s="3">
        <v>46087</v>
      </c>
      <c r="C417" s="2" t="s">
        <v>963</v>
      </c>
      <c r="D417" s="2" t="s">
        <v>1475</v>
      </c>
      <c r="E417" s="3">
        <v>38547</v>
      </c>
      <c r="F417" s="2" t="s">
        <v>14</v>
      </c>
      <c r="G417" s="2" t="s">
        <v>14</v>
      </c>
      <c r="H417" s="2" t="s">
        <v>132</v>
      </c>
      <c r="I417" s="2" t="s">
        <v>1054</v>
      </c>
      <c r="J417" s="2" t="s">
        <v>1052</v>
      </c>
      <c r="K417" s="2" t="s">
        <v>1565</v>
      </c>
      <c r="L417" s="2" t="s">
        <v>1568</v>
      </c>
      <c r="M417" s="5" t="s">
        <v>1570</v>
      </c>
      <c r="N417" s="8" t="s">
        <v>1578</v>
      </c>
      <c r="O417" s="2">
        <f ca="1">DATEDIF(Addmisson[[#This Row],[Student_DOB]],TODAY(),"y")</f>
        <v>21</v>
      </c>
      <c r="P417" s="2" t="str">
        <f>TEXT(Addmisson[[#This Row],[Admission_Date]],"mmmm")</f>
        <v>March</v>
      </c>
      <c r="Q417" s="2">
        <f>YEAR(Addmisson[[#This Row],[Admission_Date]])</f>
        <v>2026</v>
      </c>
    </row>
    <row r="418" spans="1:17" x14ac:dyDescent="0.25">
      <c r="A418" s="7" t="s">
        <v>515</v>
      </c>
      <c r="B418" s="3">
        <v>46088</v>
      </c>
      <c r="C418" s="2" t="s">
        <v>964</v>
      </c>
      <c r="D418" s="2" t="s">
        <v>1476</v>
      </c>
      <c r="E418" s="3">
        <v>38265</v>
      </c>
      <c r="F418" s="2" t="s">
        <v>127</v>
      </c>
      <c r="G418" s="2" t="s">
        <v>127</v>
      </c>
      <c r="H418" s="2" t="s">
        <v>133</v>
      </c>
      <c r="I418" s="2" t="s">
        <v>1055</v>
      </c>
      <c r="J418" s="2" t="s">
        <v>1055</v>
      </c>
      <c r="K418" s="2" t="s">
        <v>1558</v>
      </c>
      <c r="L418" s="2" t="s">
        <v>1568</v>
      </c>
      <c r="M418" s="5" t="s">
        <v>1575</v>
      </c>
      <c r="N418" s="8" t="s">
        <v>1578</v>
      </c>
      <c r="O418" s="2">
        <f ca="1">DATEDIF(Addmisson[[#This Row],[Student_DOB]],TODAY(),"y")</f>
        <v>22</v>
      </c>
      <c r="P418" s="2" t="str">
        <f>TEXT(Addmisson[[#This Row],[Admission_Date]],"mmmm")</f>
        <v>March</v>
      </c>
      <c r="Q418" s="2">
        <f>YEAR(Addmisson[[#This Row],[Admission_Date]])</f>
        <v>2026</v>
      </c>
    </row>
    <row r="419" spans="1:17" x14ac:dyDescent="0.25">
      <c r="A419" s="7" t="s">
        <v>516</v>
      </c>
      <c r="B419" s="3">
        <v>46089</v>
      </c>
      <c r="C419" s="2" t="s">
        <v>965</v>
      </c>
      <c r="D419" s="2" t="s">
        <v>1477</v>
      </c>
      <c r="E419" s="3">
        <v>38440</v>
      </c>
      <c r="F419" s="2" t="s">
        <v>138</v>
      </c>
      <c r="G419" s="2" t="s">
        <v>138</v>
      </c>
      <c r="H419" s="2" t="s">
        <v>138</v>
      </c>
      <c r="I419" s="2" t="s">
        <v>16</v>
      </c>
      <c r="J419" s="2" t="s">
        <v>1056</v>
      </c>
      <c r="K419" s="2" t="s">
        <v>1559</v>
      </c>
      <c r="L419" s="2" t="s">
        <v>1568</v>
      </c>
      <c r="M419" s="5" t="s">
        <v>1571</v>
      </c>
      <c r="N419" s="8" t="s">
        <v>1578</v>
      </c>
      <c r="O419" s="2">
        <f ca="1">DATEDIF(Addmisson[[#This Row],[Student_DOB]],TODAY(),"y")</f>
        <v>21</v>
      </c>
      <c r="P419" s="2" t="str">
        <f>TEXT(Addmisson[[#This Row],[Admission_Date]],"mmmm")</f>
        <v>March</v>
      </c>
      <c r="Q419" s="2">
        <f>YEAR(Addmisson[[#This Row],[Admission_Date]])</f>
        <v>2026</v>
      </c>
    </row>
    <row r="420" spans="1:17" x14ac:dyDescent="0.25">
      <c r="A420" s="7" t="s">
        <v>517</v>
      </c>
      <c r="B420" s="3">
        <v>46090</v>
      </c>
      <c r="C420" s="2" t="s">
        <v>966</v>
      </c>
      <c r="D420" s="2" t="s">
        <v>1478</v>
      </c>
      <c r="E420" s="3">
        <v>38125</v>
      </c>
      <c r="F420" s="2" t="s">
        <v>127</v>
      </c>
      <c r="G420" s="2" t="s">
        <v>127</v>
      </c>
      <c r="H420" s="2" t="s">
        <v>141</v>
      </c>
      <c r="I420" s="2" t="s">
        <v>1057</v>
      </c>
      <c r="J420" s="2" t="s">
        <v>1058</v>
      </c>
      <c r="K420" s="2" t="s">
        <v>1560</v>
      </c>
      <c r="L420" s="2" t="s">
        <v>1568</v>
      </c>
      <c r="M420" s="5" t="s">
        <v>1572</v>
      </c>
      <c r="N420" s="8" t="s">
        <v>1578</v>
      </c>
      <c r="O420" s="2">
        <f ca="1">DATEDIF(Addmisson[[#This Row],[Student_DOB]],TODAY(),"y")</f>
        <v>22</v>
      </c>
      <c r="P420" s="2" t="str">
        <f>TEXT(Addmisson[[#This Row],[Admission_Date]],"mmmm")</f>
        <v>March</v>
      </c>
      <c r="Q420" s="2">
        <f>YEAR(Addmisson[[#This Row],[Admission_Date]])</f>
        <v>2026</v>
      </c>
    </row>
    <row r="421" spans="1:17" x14ac:dyDescent="0.25">
      <c r="A421" s="7" t="s">
        <v>518</v>
      </c>
      <c r="B421" s="3">
        <v>46091</v>
      </c>
      <c r="C421" s="2" t="s">
        <v>967</v>
      </c>
      <c r="D421" s="2" t="s">
        <v>1479</v>
      </c>
      <c r="E421" s="3">
        <v>38962</v>
      </c>
      <c r="F421" s="2" t="s">
        <v>138</v>
      </c>
      <c r="G421" s="2" t="s">
        <v>138</v>
      </c>
      <c r="H421" s="2" t="s">
        <v>138</v>
      </c>
      <c r="I421" s="2" t="s">
        <v>1059</v>
      </c>
      <c r="J421" s="2" t="s">
        <v>1059</v>
      </c>
      <c r="K421" s="2" t="s">
        <v>1561</v>
      </c>
      <c r="L421" s="2" t="s">
        <v>1568</v>
      </c>
      <c r="M421" s="5" t="s">
        <v>1573</v>
      </c>
      <c r="N421" s="8" t="s">
        <v>1578</v>
      </c>
      <c r="O421" s="2">
        <f ca="1">DATEDIF(Addmisson[[#This Row],[Student_DOB]],TODAY(),"y")</f>
        <v>20</v>
      </c>
      <c r="P421" s="2" t="str">
        <f>TEXT(Addmisson[[#This Row],[Admission_Date]],"mmmm")</f>
        <v>March</v>
      </c>
      <c r="Q421" s="2">
        <f>YEAR(Addmisson[[#This Row],[Admission_Date]])</f>
        <v>2026</v>
      </c>
    </row>
    <row r="422" spans="1:17" x14ac:dyDescent="0.25">
      <c r="A422" s="7" t="s">
        <v>519</v>
      </c>
      <c r="B422" s="3">
        <v>46092</v>
      </c>
      <c r="C422" s="2" t="s">
        <v>968</v>
      </c>
      <c r="D422" s="2" t="s">
        <v>1480</v>
      </c>
      <c r="E422" s="3">
        <v>37996</v>
      </c>
      <c r="F422" s="2" t="s">
        <v>127</v>
      </c>
      <c r="G422" s="2" t="s">
        <v>127</v>
      </c>
      <c r="H422" s="2" t="s">
        <v>141</v>
      </c>
      <c r="I422" s="2" t="s">
        <v>1060</v>
      </c>
      <c r="J422" s="2" t="s">
        <v>21</v>
      </c>
      <c r="K422" s="2" t="s">
        <v>1562</v>
      </c>
      <c r="L422" s="2" t="s">
        <v>1568</v>
      </c>
      <c r="M422" s="5" t="s">
        <v>1570</v>
      </c>
      <c r="N422" s="8" t="s">
        <v>1578</v>
      </c>
      <c r="O422" s="2">
        <f ca="1">DATEDIF(Addmisson[[#This Row],[Student_DOB]],TODAY(),"y")</f>
        <v>22</v>
      </c>
      <c r="P422" s="2" t="str">
        <f>TEXT(Addmisson[[#This Row],[Admission_Date]],"mmmm")</f>
        <v>March</v>
      </c>
      <c r="Q422" s="2">
        <f>YEAR(Addmisson[[#This Row],[Admission_Date]])</f>
        <v>2026</v>
      </c>
    </row>
    <row r="423" spans="1:17" x14ac:dyDescent="0.25">
      <c r="A423" s="7" t="s">
        <v>520</v>
      </c>
      <c r="B423" s="3">
        <v>46093</v>
      </c>
      <c r="C423" s="2" t="s">
        <v>969</v>
      </c>
      <c r="D423" s="2" t="s">
        <v>1481</v>
      </c>
      <c r="E423" s="3">
        <v>38526</v>
      </c>
      <c r="F423" s="2" t="s">
        <v>129</v>
      </c>
      <c r="G423" s="2" t="s">
        <v>129</v>
      </c>
      <c r="H423" s="2" t="s">
        <v>143</v>
      </c>
      <c r="I423" s="2" t="s">
        <v>1047</v>
      </c>
      <c r="J423" s="2" t="s">
        <v>1048</v>
      </c>
      <c r="K423" s="2" t="s">
        <v>1563</v>
      </c>
      <c r="L423" s="2" t="s">
        <v>1568</v>
      </c>
      <c r="M423" s="5" t="s">
        <v>1575</v>
      </c>
      <c r="N423" s="8" t="s">
        <v>1578</v>
      </c>
      <c r="O423" s="2">
        <f ca="1">DATEDIF(Addmisson[[#This Row],[Student_DOB]],TODAY(),"y")</f>
        <v>21</v>
      </c>
      <c r="P423" s="2" t="str">
        <f>TEXT(Addmisson[[#This Row],[Admission_Date]],"mmmm")</f>
        <v>March</v>
      </c>
      <c r="Q423" s="2">
        <f>YEAR(Addmisson[[#This Row],[Admission_Date]])</f>
        <v>2026</v>
      </c>
    </row>
    <row r="424" spans="1:17" x14ac:dyDescent="0.25">
      <c r="A424" s="7" t="s">
        <v>521</v>
      </c>
      <c r="B424" s="3">
        <v>46094</v>
      </c>
      <c r="C424" s="2" t="s">
        <v>970</v>
      </c>
      <c r="D424" s="2" t="s">
        <v>1482</v>
      </c>
      <c r="E424" s="3">
        <v>38199</v>
      </c>
      <c r="F424" s="2" t="s">
        <v>14</v>
      </c>
      <c r="G424" s="2" t="s">
        <v>14</v>
      </c>
      <c r="H424" s="2" t="s">
        <v>15</v>
      </c>
      <c r="I424" s="2" t="s">
        <v>1049</v>
      </c>
      <c r="J424" s="2" t="s">
        <v>1050</v>
      </c>
      <c r="K424" s="2" t="s">
        <v>1564</v>
      </c>
      <c r="L424" s="2" t="s">
        <v>1568</v>
      </c>
      <c r="M424" s="5" t="s">
        <v>1571</v>
      </c>
      <c r="N424" s="8" t="s">
        <v>1578</v>
      </c>
      <c r="O424" s="2">
        <f ca="1">DATEDIF(Addmisson[[#This Row],[Student_DOB]],TODAY(),"y")</f>
        <v>22</v>
      </c>
      <c r="P424" s="2" t="str">
        <f>TEXT(Addmisson[[#This Row],[Admission_Date]],"mmmm")</f>
        <v>March</v>
      </c>
      <c r="Q424" s="2">
        <f>YEAR(Addmisson[[#This Row],[Admission_Date]])</f>
        <v>2026</v>
      </c>
    </row>
    <row r="425" spans="1:17" x14ac:dyDescent="0.25">
      <c r="A425" s="7" t="s">
        <v>522</v>
      </c>
      <c r="B425" s="3">
        <v>46095</v>
      </c>
      <c r="C425" s="2" t="s">
        <v>971</v>
      </c>
      <c r="D425" s="2" t="s">
        <v>1483</v>
      </c>
      <c r="E425" s="3">
        <v>38668</v>
      </c>
      <c r="F425" s="2" t="s">
        <v>145</v>
      </c>
      <c r="G425" s="2" t="s">
        <v>145</v>
      </c>
      <c r="H425" s="2" t="s">
        <v>145</v>
      </c>
      <c r="I425" s="2" t="s">
        <v>1051</v>
      </c>
      <c r="J425" s="2" t="s">
        <v>1052</v>
      </c>
      <c r="K425" s="2" t="s">
        <v>1565</v>
      </c>
      <c r="L425" s="2" t="s">
        <v>1568</v>
      </c>
      <c r="M425" s="5" t="s">
        <v>1572</v>
      </c>
      <c r="N425" s="8" t="s">
        <v>1578</v>
      </c>
      <c r="O425" s="2">
        <f ca="1">DATEDIF(Addmisson[[#This Row],[Student_DOB]],TODAY(),"y")</f>
        <v>20</v>
      </c>
      <c r="P425" s="2" t="str">
        <f>TEXT(Addmisson[[#This Row],[Admission_Date]],"mmmm")</f>
        <v>March</v>
      </c>
      <c r="Q425" s="2">
        <f>YEAR(Addmisson[[#This Row],[Admission_Date]])</f>
        <v>2026</v>
      </c>
    </row>
    <row r="426" spans="1:17" x14ac:dyDescent="0.25">
      <c r="A426" s="7" t="s">
        <v>523</v>
      </c>
      <c r="B426" s="3">
        <v>46096</v>
      </c>
      <c r="C426" s="2" t="s">
        <v>972</v>
      </c>
      <c r="D426" s="2" t="s">
        <v>1484</v>
      </c>
      <c r="E426" s="3">
        <v>38113</v>
      </c>
      <c r="F426" s="2" t="s">
        <v>127</v>
      </c>
      <c r="G426" s="2" t="s">
        <v>127</v>
      </c>
      <c r="H426" s="2" t="s">
        <v>144</v>
      </c>
      <c r="I426" s="2" t="s">
        <v>1053</v>
      </c>
      <c r="J426" s="2" t="s">
        <v>1052</v>
      </c>
      <c r="K426" s="2" t="s">
        <v>1558</v>
      </c>
      <c r="L426" s="2" t="s">
        <v>1568</v>
      </c>
      <c r="M426" s="5" t="s">
        <v>1573</v>
      </c>
      <c r="N426" s="8" t="s">
        <v>1578</v>
      </c>
      <c r="O426" s="2">
        <f ca="1">DATEDIF(Addmisson[[#This Row],[Student_DOB]],TODAY(),"y")</f>
        <v>22</v>
      </c>
      <c r="P426" s="2" t="str">
        <f>TEXT(Addmisson[[#This Row],[Admission_Date]],"mmmm")</f>
        <v>March</v>
      </c>
      <c r="Q426" s="2">
        <f>YEAR(Addmisson[[#This Row],[Admission_Date]])</f>
        <v>2026</v>
      </c>
    </row>
    <row r="427" spans="1:17" x14ac:dyDescent="0.25">
      <c r="A427" s="7" t="s">
        <v>524</v>
      </c>
      <c r="B427" s="3">
        <v>46097</v>
      </c>
      <c r="C427" s="2" t="s">
        <v>973</v>
      </c>
      <c r="D427" s="2" t="s">
        <v>1485</v>
      </c>
      <c r="E427" s="3">
        <v>38591</v>
      </c>
      <c r="F427" s="2" t="s">
        <v>129</v>
      </c>
      <c r="G427" s="2" t="s">
        <v>129</v>
      </c>
      <c r="H427" s="2" t="s">
        <v>147</v>
      </c>
      <c r="I427" s="2" t="s">
        <v>1054</v>
      </c>
      <c r="J427" s="2" t="s">
        <v>1052</v>
      </c>
      <c r="K427" s="2" t="s">
        <v>1559</v>
      </c>
      <c r="L427" s="2" t="s">
        <v>1568</v>
      </c>
      <c r="M427" s="5" t="s">
        <v>1574</v>
      </c>
      <c r="N427" s="8" t="s">
        <v>1578</v>
      </c>
      <c r="O427" s="2">
        <f ca="1">DATEDIF(Addmisson[[#This Row],[Student_DOB]],TODAY(),"y")</f>
        <v>21</v>
      </c>
      <c r="P427" s="2" t="str">
        <f>TEXT(Addmisson[[#This Row],[Admission_Date]],"mmmm")</f>
        <v>March</v>
      </c>
      <c r="Q427" s="2">
        <f>YEAR(Addmisson[[#This Row],[Admission_Date]])</f>
        <v>2026</v>
      </c>
    </row>
    <row r="428" spans="1:17" x14ac:dyDescent="0.25">
      <c r="A428" s="7" t="s">
        <v>525</v>
      </c>
      <c r="B428" s="3">
        <v>46098</v>
      </c>
      <c r="C428" s="2" t="s">
        <v>974</v>
      </c>
      <c r="D428" s="2" t="s">
        <v>1486</v>
      </c>
      <c r="E428" s="3">
        <v>38065</v>
      </c>
      <c r="F428" s="2" t="s">
        <v>27</v>
      </c>
      <c r="G428" s="2" t="s">
        <v>27</v>
      </c>
      <c r="H428" s="2" t="s">
        <v>131</v>
      </c>
      <c r="I428" s="2" t="s">
        <v>1055</v>
      </c>
      <c r="J428" s="2" t="s">
        <v>1055</v>
      </c>
      <c r="K428" s="2" t="s">
        <v>1560</v>
      </c>
      <c r="L428" s="2" t="s">
        <v>1568</v>
      </c>
      <c r="M428" s="5" t="s">
        <v>1576</v>
      </c>
      <c r="N428" s="8" t="s">
        <v>1578</v>
      </c>
      <c r="O428" s="2">
        <f ca="1">DATEDIF(Addmisson[[#This Row],[Student_DOB]],TODAY(),"y")</f>
        <v>22</v>
      </c>
      <c r="P428" s="2" t="str">
        <f>TEXT(Addmisson[[#This Row],[Admission_Date]],"mmmm")</f>
        <v>March</v>
      </c>
      <c r="Q428" s="2">
        <f>YEAR(Addmisson[[#This Row],[Admission_Date]])</f>
        <v>2026</v>
      </c>
    </row>
    <row r="429" spans="1:17" x14ac:dyDescent="0.25">
      <c r="A429" s="7" t="s">
        <v>526</v>
      </c>
      <c r="B429" s="3">
        <v>46099</v>
      </c>
      <c r="C429" s="2" t="s">
        <v>975</v>
      </c>
      <c r="D429" s="2" t="s">
        <v>1487</v>
      </c>
      <c r="E429" s="3">
        <v>38629</v>
      </c>
      <c r="F429" s="2" t="s">
        <v>127</v>
      </c>
      <c r="G429" s="2" t="s">
        <v>127</v>
      </c>
      <c r="H429" s="2" t="s">
        <v>146</v>
      </c>
      <c r="I429" s="2" t="s">
        <v>16</v>
      </c>
      <c r="J429" s="2" t="s">
        <v>1056</v>
      </c>
      <c r="K429" s="2" t="s">
        <v>1561</v>
      </c>
      <c r="L429" s="2" t="s">
        <v>1567</v>
      </c>
      <c r="M429" s="5" t="s">
        <v>1577</v>
      </c>
      <c r="N429" s="8" t="s">
        <v>1578</v>
      </c>
      <c r="O429" s="2">
        <f ca="1">DATEDIF(Addmisson[[#This Row],[Student_DOB]],TODAY(),"y")</f>
        <v>21</v>
      </c>
      <c r="P429" s="2" t="str">
        <f>TEXT(Addmisson[[#This Row],[Admission_Date]],"mmmm")</f>
        <v>March</v>
      </c>
      <c r="Q429" s="2">
        <f>YEAR(Addmisson[[#This Row],[Admission_Date]])</f>
        <v>2026</v>
      </c>
    </row>
    <row r="430" spans="1:17" x14ac:dyDescent="0.25">
      <c r="A430" s="7" t="s">
        <v>527</v>
      </c>
      <c r="B430" s="3">
        <v>46100</v>
      </c>
      <c r="C430" s="2" t="s">
        <v>976</v>
      </c>
      <c r="D430" s="2" t="s">
        <v>1488</v>
      </c>
      <c r="E430" s="3">
        <v>38153</v>
      </c>
      <c r="F430" s="2" t="s">
        <v>142</v>
      </c>
      <c r="G430" s="2" t="s">
        <v>142</v>
      </c>
      <c r="H430" s="2" t="s">
        <v>142</v>
      </c>
      <c r="I430" s="2" t="s">
        <v>1057</v>
      </c>
      <c r="J430" s="2" t="s">
        <v>1058</v>
      </c>
      <c r="K430" s="2" t="s">
        <v>1562</v>
      </c>
      <c r="L430" s="2" t="s">
        <v>1567</v>
      </c>
      <c r="M430" s="5" t="s">
        <v>1570</v>
      </c>
      <c r="N430" s="8" t="s">
        <v>1578</v>
      </c>
      <c r="O430" s="2">
        <f ca="1">DATEDIF(Addmisson[[#This Row],[Student_DOB]],TODAY(),"y")</f>
        <v>22</v>
      </c>
      <c r="P430" s="2" t="str">
        <f>TEXT(Addmisson[[#This Row],[Admission_Date]],"mmmm")</f>
        <v>March</v>
      </c>
      <c r="Q430" s="2">
        <f>YEAR(Addmisson[[#This Row],[Admission_Date]])</f>
        <v>2026</v>
      </c>
    </row>
    <row r="431" spans="1:17" x14ac:dyDescent="0.25">
      <c r="A431" s="7" t="s">
        <v>528</v>
      </c>
      <c r="B431" s="3">
        <v>46101</v>
      </c>
      <c r="C431" s="2" t="s">
        <v>977</v>
      </c>
      <c r="D431" s="2" t="s">
        <v>1489</v>
      </c>
      <c r="E431" s="3">
        <v>39499</v>
      </c>
      <c r="F431" s="2" t="s">
        <v>129</v>
      </c>
      <c r="G431" s="2" t="s">
        <v>129</v>
      </c>
      <c r="H431" s="2" t="s">
        <v>130</v>
      </c>
      <c r="I431" s="2" t="s">
        <v>1059</v>
      </c>
      <c r="J431" s="2" t="s">
        <v>1059</v>
      </c>
      <c r="K431" s="2" t="s">
        <v>1563</v>
      </c>
      <c r="L431" s="2" t="s">
        <v>1567</v>
      </c>
      <c r="M431" s="5" t="s">
        <v>1575</v>
      </c>
      <c r="N431" s="8" t="s">
        <v>1578</v>
      </c>
      <c r="O431" s="2">
        <f ca="1">DATEDIF(Addmisson[[#This Row],[Student_DOB]],TODAY(),"y")</f>
        <v>18</v>
      </c>
      <c r="P431" s="2" t="str">
        <f>TEXT(Addmisson[[#This Row],[Admission_Date]],"mmmm")</f>
        <v>March</v>
      </c>
      <c r="Q431" s="2">
        <f>YEAR(Addmisson[[#This Row],[Admission_Date]])</f>
        <v>2026</v>
      </c>
    </row>
    <row r="432" spans="1:17" x14ac:dyDescent="0.25">
      <c r="A432" s="7" t="s">
        <v>529</v>
      </c>
      <c r="B432" s="3">
        <v>46102</v>
      </c>
      <c r="C432" s="2" t="s">
        <v>978</v>
      </c>
      <c r="D432" s="2" t="s">
        <v>1490</v>
      </c>
      <c r="E432" s="3">
        <v>38329</v>
      </c>
      <c r="F432" s="2" t="s">
        <v>127</v>
      </c>
      <c r="G432" s="2" t="s">
        <v>127</v>
      </c>
      <c r="H432" s="2" t="s">
        <v>128</v>
      </c>
      <c r="I432" s="2" t="s">
        <v>1060</v>
      </c>
      <c r="J432" s="2" t="s">
        <v>21</v>
      </c>
      <c r="K432" s="2" t="s">
        <v>1564</v>
      </c>
      <c r="L432" s="2" t="s">
        <v>1567</v>
      </c>
      <c r="M432" s="5" t="s">
        <v>1571</v>
      </c>
      <c r="N432" s="8" t="s">
        <v>1578</v>
      </c>
      <c r="O432" s="2">
        <f ca="1">DATEDIF(Addmisson[[#This Row],[Student_DOB]],TODAY(),"y")</f>
        <v>21</v>
      </c>
      <c r="P432" s="2" t="str">
        <f>TEXT(Addmisson[[#This Row],[Admission_Date]],"mmmm")</f>
        <v>March</v>
      </c>
      <c r="Q432" s="2">
        <f>YEAR(Addmisson[[#This Row],[Admission_Date]])</f>
        <v>2026</v>
      </c>
    </row>
    <row r="433" spans="1:17" x14ac:dyDescent="0.25">
      <c r="A433" s="7" t="s">
        <v>530</v>
      </c>
      <c r="B433" s="3">
        <v>46103</v>
      </c>
      <c r="C433" s="2" t="s">
        <v>979</v>
      </c>
      <c r="D433" s="2" t="s">
        <v>1491</v>
      </c>
      <c r="E433" s="3">
        <v>38612</v>
      </c>
      <c r="F433" s="2" t="s">
        <v>148</v>
      </c>
      <c r="G433" s="2" t="s">
        <v>148</v>
      </c>
      <c r="H433" s="2" t="s">
        <v>148</v>
      </c>
      <c r="I433" s="2" t="s">
        <v>1047</v>
      </c>
      <c r="J433" s="2" t="s">
        <v>1048</v>
      </c>
      <c r="K433" s="2" t="s">
        <v>1565</v>
      </c>
      <c r="L433" s="2" t="s">
        <v>1568</v>
      </c>
      <c r="M433" s="5" t="s">
        <v>1572</v>
      </c>
      <c r="N433" s="8" t="s">
        <v>1578</v>
      </c>
      <c r="O433" s="2">
        <f ca="1">DATEDIF(Addmisson[[#This Row],[Student_DOB]],TODAY(),"y")</f>
        <v>21</v>
      </c>
      <c r="P433" s="2" t="str">
        <f>TEXT(Addmisson[[#This Row],[Admission_Date]],"mmmm")</f>
        <v>March</v>
      </c>
      <c r="Q433" s="2">
        <f>YEAR(Addmisson[[#This Row],[Admission_Date]])</f>
        <v>2026</v>
      </c>
    </row>
    <row r="434" spans="1:17" x14ac:dyDescent="0.25">
      <c r="A434" s="7" t="s">
        <v>531</v>
      </c>
      <c r="B434" s="3">
        <v>46104</v>
      </c>
      <c r="C434" s="2" t="s">
        <v>980</v>
      </c>
      <c r="D434" s="2" t="s">
        <v>1492</v>
      </c>
      <c r="E434" s="3">
        <v>38016</v>
      </c>
      <c r="F434" s="2" t="s">
        <v>14</v>
      </c>
      <c r="G434" s="2" t="s">
        <v>14</v>
      </c>
      <c r="H434" s="2" t="s">
        <v>132</v>
      </c>
      <c r="I434" s="2" t="s">
        <v>1049</v>
      </c>
      <c r="J434" s="2" t="s">
        <v>1050</v>
      </c>
      <c r="K434" s="2" t="s">
        <v>1558</v>
      </c>
      <c r="L434" s="2" t="s">
        <v>1567</v>
      </c>
      <c r="M434" s="5" t="s">
        <v>1573</v>
      </c>
      <c r="N434" s="8" t="s">
        <v>1578</v>
      </c>
      <c r="O434" s="2">
        <f ca="1">DATEDIF(Addmisson[[#This Row],[Student_DOB]],TODAY(),"y")</f>
        <v>22</v>
      </c>
      <c r="P434" s="2" t="str">
        <f>TEXT(Addmisson[[#This Row],[Admission_Date]],"mmmm")</f>
        <v>March</v>
      </c>
      <c r="Q434" s="2">
        <f>YEAR(Addmisson[[#This Row],[Admission_Date]])</f>
        <v>2026</v>
      </c>
    </row>
    <row r="435" spans="1:17" x14ac:dyDescent="0.25">
      <c r="A435" s="7" t="s">
        <v>532</v>
      </c>
      <c r="B435" s="3">
        <v>46105</v>
      </c>
      <c r="C435" s="2" t="s">
        <v>981</v>
      </c>
      <c r="D435" s="2" t="s">
        <v>1493</v>
      </c>
      <c r="E435" s="3">
        <v>38546</v>
      </c>
      <c r="F435" s="2" t="s">
        <v>127</v>
      </c>
      <c r="G435" s="2" t="s">
        <v>127</v>
      </c>
      <c r="H435" s="2" t="s">
        <v>133</v>
      </c>
      <c r="I435" s="2" t="s">
        <v>1051</v>
      </c>
      <c r="J435" s="2" t="s">
        <v>1052</v>
      </c>
      <c r="K435" s="2" t="s">
        <v>1559</v>
      </c>
      <c r="L435" s="2" t="s">
        <v>1567</v>
      </c>
      <c r="M435" s="5" t="s">
        <v>1574</v>
      </c>
      <c r="N435" s="8" t="s">
        <v>1578</v>
      </c>
      <c r="O435" s="2">
        <f ca="1">DATEDIF(Addmisson[[#This Row],[Student_DOB]],TODAY(),"y")</f>
        <v>21</v>
      </c>
      <c r="P435" s="2" t="str">
        <f>TEXT(Addmisson[[#This Row],[Admission_Date]],"mmmm")</f>
        <v>March</v>
      </c>
      <c r="Q435" s="2">
        <f>YEAR(Addmisson[[#This Row],[Admission_Date]])</f>
        <v>2026</v>
      </c>
    </row>
    <row r="436" spans="1:17" x14ac:dyDescent="0.25">
      <c r="A436" s="7" t="s">
        <v>533</v>
      </c>
      <c r="B436" s="3">
        <v>46106</v>
      </c>
      <c r="C436" s="2" t="s">
        <v>982</v>
      </c>
      <c r="D436" s="2" t="s">
        <v>1494</v>
      </c>
      <c r="E436" s="3">
        <v>38131</v>
      </c>
      <c r="F436" s="2" t="s">
        <v>138</v>
      </c>
      <c r="G436" s="2" t="s">
        <v>138</v>
      </c>
      <c r="H436" s="2" t="s">
        <v>138</v>
      </c>
      <c r="I436" s="2" t="s">
        <v>1053</v>
      </c>
      <c r="J436" s="2" t="s">
        <v>1052</v>
      </c>
      <c r="K436" s="2" t="s">
        <v>1560</v>
      </c>
      <c r="L436" s="2" t="s">
        <v>1568</v>
      </c>
      <c r="M436" s="5" t="s">
        <v>1576</v>
      </c>
      <c r="N436" s="8" t="s">
        <v>1578</v>
      </c>
      <c r="O436" s="2">
        <f ca="1">DATEDIF(Addmisson[[#This Row],[Student_DOB]],TODAY(),"y")</f>
        <v>22</v>
      </c>
      <c r="P436" s="2" t="str">
        <f>TEXT(Addmisson[[#This Row],[Admission_Date]],"mmmm")</f>
        <v>March</v>
      </c>
      <c r="Q436" s="2">
        <f>YEAR(Addmisson[[#This Row],[Admission_Date]])</f>
        <v>2026</v>
      </c>
    </row>
    <row r="437" spans="1:17" x14ac:dyDescent="0.25">
      <c r="A437" s="7" t="s">
        <v>534</v>
      </c>
      <c r="B437" s="3">
        <v>46107</v>
      </c>
      <c r="C437" s="2" t="s">
        <v>983</v>
      </c>
      <c r="D437" s="2" t="s">
        <v>1495</v>
      </c>
      <c r="E437" s="3">
        <v>38665</v>
      </c>
      <c r="F437" s="2" t="s">
        <v>127</v>
      </c>
      <c r="G437" s="2" t="s">
        <v>127</v>
      </c>
      <c r="H437" s="2" t="s">
        <v>141</v>
      </c>
      <c r="I437" s="2" t="s">
        <v>1054</v>
      </c>
      <c r="J437" s="2" t="s">
        <v>1052</v>
      </c>
      <c r="K437" s="2" t="s">
        <v>1561</v>
      </c>
      <c r="L437" s="2" t="s">
        <v>1568</v>
      </c>
      <c r="M437" s="5" t="s">
        <v>1577</v>
      </c>
      <c r="N437" s="8" t="s">
        <v>1578</v>
      </c>
      <c r="O437" s="2">
        <f ca="1">DATEDIF(Addmisson[[#This Row],[Student_DOB]],TODAY(),"y")</f>
        <v>20</v>
      </c>
      <c r="P437" s="2" t="str">
        <f>TEXT(Addmisson[[#This Row],[Admission_Date]],"mmmm")</f>
        <v>March</v>
      </c>
      <c r="Q437" s="2">
        <f>YEAR(Addmisson[[#This Row],[Admission_Date]])</f>
        <v>2026</v>
      </c>
    </row>
    <row r="438" spans="1:17" x14ac:dyDescent="0.25">
      <c r="A438" s="7" t="s">
        <v>535</v>
      </c>
      <c r="B438" s="3">
        <v>46108</v>
      </c>
      <c r="C438" s="2" t="s">
        <v>984</v>
      </c>
      <c r="D438" s="2" t="s">
        <v>1496</v>
      </c>
      <c r="E438" s="3">
        <v>38079</v>
      </c>
      <c r="F438" s="2" t="s">
        <v>129</v>
      </c>
      <c r="G438" s="2" t="s">
        <v>129</v>
      </c>
      <c r="H438" s="2" t="s">
        <v>143</v>
      </c>
      <c r="I438" s="2" t="s">
        <v>1055</v>
      </c>
      <c r="J438" s="2" t="s">
        <v>1055</v>
      </c>
      <c r="K438" s="2" t="s">
        <v>1562</v>
      </c>
      <c r="L438" s="2" t="s">
        <v>1567</v>
      </c>
      <c r="M438" s="5" t="s">
        <v>1570</v>
      </c>
      <c r="N438" s="8" t="s">
        <v>1578</v>
      </c>
      <c r="O438" s="2">
        <f ca="1">DATEDIF(Addmisson[[#This Row],[Student_DOB]],TODAY(),"y")</f>
        <v>22</v>
      </c>
      <c r="P438" s="2" t="str">
        <f>TEXT(Addmisson[[#This Row],[Admission_Date]],"mmmm")</f>
        <v>March</v>
      </c>
      <c r="Q438" s="2">
        <f>YEAR(Addmisson[[#This Row],[Admission_Date]])</f>
        <v>2026</v>
      </c>
    </row>
    <row r="439" spans="1:17" x14ac:dyDescent="0.25">
      <c r="A439" s="7" t="s">
        <v>536</v>
      </c>
      <c r="B439" s="3">
        <v>46109</v>
      </c>
      <c r="C439" s="2" t="s">
        <v>985</v>
      </c>
      <c r="D439" s="2" t="s">
        <v>1497</v>
      </c>
      <c r="E439" s="3">
        <v>38590</v>
      </c>
      <c r="F439" s="2" t="s">
        <v>14</v>
      </c>
      <c r="G439" s="2" t="s">
        <v>14</v>
      </c>
      <c r="H439" s="2" t="s">
        <v>15</v>
      </c>
      <c r="I439" s="2" t="s">
        <v>16</v>
      </c>
      <c r="J439" s="2" t="s">
        <v>1056</v>
      </c>
      <c r="K439" s="2" t="s">
        <v>1563</v>
      </c>
      <c r="L439" s="2" t="s">
        <v>1567</v>
      </c>
      <c r="M439" s="5" t="s">
        <v>1575</v>
      </c>
      <c r="N439" s="8" t="s">
        <v>1578</v>
      </c>
      <c r="O439" s="2">
        <f ca="1">DATEDIF(Addmisson[[#This Row],[Student_DOB]],TODAY(),"y")</f>
        <v>21</v>
      </c>
      <c r="P439" s="2" t="str">
        <f>TEXT(Addmisson[[#This Row],[Admission_Date]],"mmmm")</f>
        <v>March</v>
      </c>
      <c r="Q439" s="2">
        <f>YEAR(Addmisson[[#This Row],[Admission_Date]])</f>
        <v>2026</v>
      </c>
    </row>
    <row r="440" spans="1:17" x14ac:dyDescent="0.25">
      <c r="A440" s="7" t="s">
        <v>537</v>
      </c>
      <c r="B440" s="3">
        <v>46110</v>
      </c>
      <c r="C440" s="2" t="s">
        <v>986</v>
      </c>
      <c r="D440" s="2" t="s">
        <v>1498</v>
      </c>
      <c r="E440" s="3">
        <v>38271</v>
      </c>
      <c r="F440" s="2" t="s">
        <v>145</v>
      </c>
      <c r="G440" s="2" t="s">
        <v>145</v>
      </c>
      <c r="H440" s="2" t="s">
        <v>145</v>
      </c>
      <c r="I440" s="2" t="s">
        <v>1057</v>
      </c>
      <c r="J440" s="2" t="s">
        <v>1058</v>
      </c>
      <c r="K440" s="2" t="s">
        <v>1564</v>
      </c>
      <c r="L440" s="2" t="s">
        <v>1568</v>
      </c>
      <c r="M440" s="5" t="s">
        <v>1571</v>
      </c>
      <c r="N440" s="8" t="s">
        <v>1578</v>
      </c>
      <c r="O440" s="2">
        <f ca="1">DATEDIF(Addmisson[[#This Row],[Student_DOB]],TODAY(),"y")</f>
        <v>22</v>
      </c>
      <c r="P440" s="2" t="str">
        <f>TEXT(Addmisson[[#This Row],[Admission_Date]],"mmmm")</f>
        <v>March</v>
      </c>
      <c r="Q440" s="2">
        <f>YEAR(Addmisson[[#This Row],[Admission_Date]])</f>
        <v>2026</v>
      </c>
    </row>
    <row r="441" spans="1:17" x14ac:dyDescent="0.25">
      <c r="A441" s="7" t="s">
        <v>538</v>
      </c>
      <c r="B441" s="3">
        <v>46111</v>
      </c>
      <c r="C441" s="2" t="s">
        <v>987</v>
      </c>
      <c r="D441" s="2" t="s">
        <v>1499</v>
      </c>
      <c r="E441" s="3">
        <v>38429</v>
      </c>
      <c r="F441" s="2" t="s">
        <v>127</v>
      </c>
      <c r="G441" s="2" t="s">
        <v>127</v>
      </c>
      <c r="H441" s="2" t="s">
        <v>144</v>
      </c>
      <c r="I441" s="2" t="s">
        <v>1059</v>
      </c>
      <c r="J441" s="2" t="s">
        <v>1059</v>
      </c>
      <c r="K441" s="2" t="s">
        <v>1565</v>
      </c>
      <c r="L441" s="2" t="s">
        <v>1568</v>
      </c>
      <c r="M441" s="5" t="s">
        <v>1572</v>
      </c>
      <c r="N441" s="8" t="s">
        <v>1578</v>
      </c>
      <c r="O441" s="2">
        <f ca="1">DATEDIF(Addmisson[[#This Row],[Student_DOB]],TODAY(),"y")</f>
        <v>21</v>
      </c>
      <c r="P441" s="2" t="str">
        <f>TEXT(Addmisson[[#This Row],[Admission_Date]],"mmmm")</f>
        <v>March</v>
      </c>
      <c r="Q441" s="2">
        <f>YEAR(Addmisson[[#This Row],[Admission_Date]])</f>
        <v>2026</v>
      </c>
    </row>
    <row r="442" spans="1:17" x14ac:dyDescent="0.25">
      <c r="A442" s="7" t="s">
        <v>539</v>
      </c>
      <c r="B442" s="3">
        <v>46112</v>
      </c>
      <c r="C442" s="2" t="s">
        <v>988</v>
      </c>
      <c r="D442" s="2" t="s">
        <v>1500</v>
      </c>
      <c r="E442" s="3">
        <v>37993</v>
      </c>
      <c r="F442" s="2" t="s">
        <v>129</v>
      </c>
      <c r="G442" s="2" t="s">
        <v>129</v>
      </c>
      <c r="H442" s="2" t="s">
        <v>147</v>
      </c>
      <c r="I442" s="2" t="s">
        <v>1060</v>
      </c>
      <c r="J442" s="2" t="s">
        <v>21</v>
      </c>
      <c r="K442" s="2" t="s">
        <v>1558</v>
      </c>
      <c r="L442" s="2" t="s">
        <v>1568</v>
      </c>
      <c r="M442" s="5" t="s">
        <v>1573</v>
      </c>
      <c r="N442" s="8" t="s">
        <v>1578</v>
      </c>
      <c r="O442" s="2">
        <f ca="1">DATEDIF(Addmisson[[#This Row],[Student_DOB]],TODAY(),"y")</f>
        <v>22</v>
      </c>
      <c r="P442" s="2" t="str">
        <f>TEXT(Addmisson[[#This Row],[Admission_Date]],"mmmm")</f>
        <v>March</v>
      </c>
      <c r="Q442" s="2">
        <f>YEAR(Addmisson[[#This Row],[Admission_Date]])</f>
        <v>2026</v>
      </c>
    </row>
    <row r="443" spans="1:17" x14ac:dyDescent="0.25">
      <c r="A443" s="7" t="s">
        <v>540</v>
      </c>
      <c r="B443" s="3">
        <v>46113</v>
      </c>
      <c r="C443" s="2" t="s">
        <v>989</v>
      </c>
      <c r="D443" s="2" t="s">
        <v>1501</v>
      </c>
      <c r="E443" s="3">
        <v>38555</v>
      </c>
      <c r="F443" s="2" t="s">
        <v>27</v>
      </c>
      <c r="G443" s="2" t="s">
        <v>27</v>
      </c>
      <c r="H443" s="2" t="s">
        <v>131</v>
      </c>
      <c r="I443" s="2" t="s">
        <v>1047</v>
      </c>
      <c r="J443" s="2" t="s">
        <v>1048</v>
      </c>
      <c r="K443" s="2" t="s">
        <v>1559</v>
      </c>
      <c r="L443" s="2" t="s">
        <v>1568</v>
      </c>
      <c r="M443" s="5" t="s">
        <v>1570</v>
      </c>
      <c r="N443" s="8" t="s">
        <v>1578</v>
      </c>
      <c r="O443" s="2">
        <f ca="1">DATEDIF(Addmisson[[#This Row],[Student_DOB]],TODAY(),"y")</f>
        <v>21</v>
      </c>
      <c r="P443" s="2" t="str">
        <f>TEXT(Addmisson[[#This Row],[Admission_Date]],"mmmm")</f>
        <v>April</v>
      </c>
      <c r="Q443" s="2">
        <f>YEAR(Addmisson[[#This Row],[Admission_Date]])</f>
        <v>2026</v>
      </c>
    </row>
    <row r="444" spans="1:17" x14ac:dyDescent="0.25">
      <c r="A444" s="7" t="s">
        <v>541</v>
      </c>
      <c r="B444" s="3">
        <v>46114</v>
      </c>
      <c r="C444" s="2" t="s">
        <v>990</v>
      </c>
      <c r="D444" s="2" t="s">
        <v>1502</v>
      </c>
      <c r="E444" s="3">
        <v>37604</v>
      </c>
      <c r="F444" s="2" t="s">
        <v>127</v>
      </c>
      <c r="G444" s="2" t="s">
        <v>127</v>
      </c>
      <c r="H444" s="2" t="s">
        <v>146</v>
      </c>
      <c r="I444" s="2" t="s">
        <v>1049</v>
      </c>
      <c r="J444" s="2" t="s">
        <v>1050</v>
      </c>
      <c r="K444" s="2" t="s">
        <v>1560</v>
      </c>
      <c r="L444" s="2" t="s">
        <v>1568</v>
      </c>
      <c r="M444" s="5" t="s">
        <v>1575</v>
      </c>
      <c r="N444" s="8" t="s">
        <v>1578</v>
      </c>
      <c r="O444" s="2">
        <f ca="1">DATEDIF(Addmisson[[#This Row],[Student_DOB]],TODAY(),"y")</f>
        <v>23</v>
      </c>
      <c r="P444" s="2" t="str">
        <f>TEXT(Addmisson[[#This Row],[Admission_Date]],"mmmm")</f>
        <v>April</v>
      </c>
      <c r="Q444" s="2">
        <f>YEAR(Addmisson[[#This Row],[Admission_Date]])</f>
        <v>2026</v>
      </c>
    </row>
    <row r="445" spans="1:17" x14ac:dyDescent="0.25">
      <c r="A445" s="7" t="s">
        <v>542</v>
      </c>
      <c r="B445" s="3">
        <v>46115</v>
      </c>
      <c r="C445" s="2" t="s">
        <v>991</v>
      </c>
      <c r="D445" s="2" t="s">
        <v>1503</v>
      </c>
      <c r="E445" s="3">
        <v>38508</v>
      </c>
      <c r="F445" s="2" t="s">
        <v>142</v>
      </c>
      <c r="G445" s="2" t="s">
        <v>142</v>
      </c>
      <c r="H445" s="2" t="s">
        <v>142</v>
      </c>
      <c r="I445" s="2" t="s">
        <v>1051</v>
      </c>
      <c r="J445" s="2" t="s">
        <v>1052</v>
      </c>
      <c r="K445" s="2" t="s">
        <v>1561</v>
      </c>
      <c r="L445" s="2" t="s">
        <v>1568</v>
      </c>
      <c r="M445" s="5" t="s">
        <v>1571</v>
      </c>
      <c r="N445" s="8" t="s">
        <v>1578</v>
      </c>
      <c r="O445" s="2">
        <f ca="1">DATEDIF(Addmisson[[#This Row],[Student_DOB]],TODAY(),"y")</f>
        <v>21</v>
      </c>
      <c r="P445" s="2" t="str">
        <f>TEXT(Addmisson[[#This Row],[Admission_Date]],"mmmm")</f>
        <v>April</v>
      </c>
      <c r="Q445" s="2">
        <f>YEAR(Addmisson[[#This Row],[Admission_Date]])</f>
        <v>2026</v>
      </c>
    </row>
    <row r="446" spans="1:17" x14ac:dyDescent="0.25">
      <c r="A446" s="7" t="s">
        <v>543</v>
      </c>
      <c r="B446" s="3">
        <v>46116</v>
      </c>
      <c r="C446" s="2" t="s">
        <v>992</v>
      </c>
      <c r="D446" s="2" t="s">
        <v>1504</v>
      </c>
      <c r="E446" s="3">
        <v>38259</v>
      </c>
      <c r="F446" s="2" t="s">
        <v>129</v>
      </c>
      <c r="G446" s="2" t="s">
        <v>129</v>
      </c>
      <c r="H446" s="2" t="s">
        <v>130</v>
      </c>
      <c r="I446" s="2" t="s">
        <v>1053</v>
      </c>
      <c r="J446" s="2" t="s">
        <v>1052</v>
      </c>
      <c r="K446" s="2" t="s">
        <v>1562</v>
      </c>
      <c r="L446" s="2" t="s">
        <v>1568</v>
      </c>
      <c r="M446" s="5" t="s">
        <v>1572</v>
      </c>
      <c r="N446" s="8" t="s">
        <v>1578</v>
      </c>
      <c r="O446" s="2">
        <f ca="1">DATEDIF(Addmisson[[#This Row],[Student_DOB]],TODAY(),"y")</f>
        <v>22</v>
      </c>
      <c r="P446" s="2" t="str">
        <f>TEXT(Addmisson[[#This Row],[Admission_Date]],"mmmm")</f>
        <v>April</v>
      </c>
      <c r="Q446" s="2">
        <f>YEAR(Addmisson[[#This Row],[Admission_Date]])</f>
        <v>2026</v>
      </c>
    </row>
    <row r="447" spans="1:17" x14ac:dyDescent="0.25">
      <c r="A447" s="7" t="s">
        <v>544</v>
      </c>
      <c r="B447" s="3">
        <v>46117</v>
      </c>
      <c r="C447" s="2" t="s">
        <v>993</v>
      </c>
      <c r="D447" s="2" t="s">
        <v>1505</v>
      </c>
      <c r="E447" s="3">
        <v>38458</v>
      </c>
      <c r="F447" s="2" t="s">
        <v>127</v>
      </c>
      <c r="G447" s="2" t="s">
        <v>127</v>
      </c>
      <c r="H447" s="2" t="s">
        <v>128</v>
      </c>
      <c r="I447" s="2" t="s">
        <v>1054</v>
      </c>
      <c r="J447" s="2" t="s">
        <v>1052</v>
      </c>
      <c r="K447" s="2" t="s">
        <v>1563</v>
      </c>
      <c r="L447" s="2" t="s">
        <v>1568</v>
      </c>
      <c r="M447" s="5" t="s">
        <v>1573</v>
      </c>
      <c r="N447" s="8" t="s">
        <v>1578</v>
      </c>
      <c r="O447" s="2">
        <f ca="1">DATEDIF(Addmisson[[#This Row],[Student_DOB]],TODAY(),"y")</f>
        <v>21</v>
      </c>
      <c r="P447" s="2" t="str">
        <f>TEXT(Addmisson[[#This Row],[Admission_Date]],"mmmm")</f>
        <v>April</v>
      </c>
      <c r="Q447" s="2">
        <f>YEAR(Addmisson[[#This Row],[Admission_Date]])</f>
        <v>2026</v>
      </c>
    </row>
    <row r="448" spans="1:17" x14ac:dyDescent="0.25">
      <c r="A448" s="7" t="s">
        <v>545</v>
      </c>
      <c r="B448" s="3">
        <v>46118</v>
      </c>
      <c r="C448" s="2" t="s">
        <v>994</v>
      </c>
      <c r="D448" s="2" t="s">
        <v>1506</v>
      </c>
      <c r="E448" s="3">
        <v>38020</v>
      </c>
      <c r="F448" s="2" t="s">
        <v>148</v>
      </c>
      <c r="G448" s="2" t="s">
        <v>148</v>
      </c>
      <c r="H448" s="2" t="s">
        <v>148</v>
      </c>
      <c r="I448" s="2" t="s">
        <v>1055</v>
      </c>
      <c r="J448" s="2" t="s">
        <v>1055</v>
      </c>
      <c r="K448" s="2" t="s">
        <v>1564</v>
      </c>
      <c r="L448" s="2" t="s">
        <v>1568</v>
      </c>
      <c r="M448" s="5" t="s">
        <v>1574</v>
      </c>
      <c r="N448" s="8" t="s">
        <v>1578</v>
      </c>
      <c r="O448" s="2">
        <f ca="1">DATEDIF(Addmisson[[#This Row],[Student_DOB]],TODAY(),"y")</f>
        <v>22</v>
      </c>
      <c r="P448" s="2" t="str">
        <f>TEXT(Addmisson[[#This Row],[Admission_Date]],"mmmm")</f>
        <v>April</v>
      </c>
      <c r="Q448" s="2">
        <f>YEAR(Addmisson[[#This Row],[Admission_Date]])</f>
        <v>2026</v>
      </c>
    </row>
    <row r="449" spans="1:17" x14ac:dyDescent="0.25">
      <c r="A449" s="7" t="s">
        <v>546</v>
      </c>
      <c r="B449" s="3">
        <v>46119</v>
      </c>
      <c r="C449" s="2" t="s">
        <v>995</v>
      </c>
      <c r="D449" s="2" t="s">
        <v>1507</v>
      </c>
      <c r="E449" s="3">
        <v>38650</v>
      </c>
      <c r="F449" s="2" t="s">
        <v>14</v>
      </c>
      <c r="G449" s="2" t="s">
        <v>14</v>
      </c>
      <c r="H449" s="2" t="s">
        <v>132</v>
      </c>
      <c r="I449" s="2" t="s">
        <v>16</v>
      </c>
      <c r="J449" s="2" t="s">
        <v>1056</v>
      </c>
      <c r="K449" s="2" t="s">
        <v>1565</v>
      </c>
      <c r="L449" s="2" t="s">
        <v>1568</v>
      </c>
      <c r="M449" s="5" t="s">
        <v>1576</v>
      </c>
      <c r="N449" s="8" t="s">
        <v>1578</v>
      </c>
      <c r="O449" s="2">
        <f ca="1">DATEDIF(Addmisson[[#This Row],[Student_DOB]],TODAY(),"y")</f>
        <v>20</v>
      </c>
      <c r="P449" s="2" t="str">
        <f>TEXT(Addmisson[[#This Row],[Admission_Date]],"mmmm")</f>
        <v>April</v>
      </c>
      <c r="Q449" s="2">
        <f>YEAR(Addmisson[[#This Row],[Admission_Date]])</f>
        <v>2026</v>
      </c>
    </row>
    <row r="450" spans="1:17" x14ac:dyDescent="0.25">
      <c r="A450" s="7" t="s">
        <v>547</v>
      </c>
      <c r="B450" s="3">
        <v>46120</v>
      </c>
      <c r="C450" s="2" t="s">
        <v>996</v>
      </c>
      <c r="D450" s="2" t="s">
        <v>1508</v>
      </c>
      <c r="E450" s="3">
        <v>38158</v>
      </c>
      <c r="F450" s="2" t="s">
        <v>127</v>
      </c>
      <c r="G450" s="2" t="s">
        <v>127</v>
      </c>
      <c r="H450" s="2" t="s">
        <v>133</v>
      </c>
      <c r="I450" s="2" t="s">
        <v>1057</v>
      </c>
      <c r="J450" s="2" t="s">
        <v>1058</v>
      </c>
      <c r="K450" s="2" t="s">
        <v>1558</v>
      </c>
      <c r="L450" s="2" t="s">
        <v>1568</v>
      </c>
      <c r="M450" s="5" t="s">
        <v>1577</v>
      </c>
      <c r="N450" s="8" t="s">
        <v>1578</v>
      </c>
      <c r="O450" s="2">
        <f ca="1">DATEDIF(Addmisson[[#This Row],[Student_DOB]],TODAY(),"y")</f>
        <v>22</v>
      </c>
      <c r="P450" s="2" t="str">
        <f>TEXT(Addmisson[[#This Row],[Admission_Date]],"mmmm")</f>
        <v>April</v>
      </c>
      <c r="Q450" s="2">
        <f>YEAR(Addmisson[[#This Row],[Admission_Date]])</f>
        <v>2026</v>
      </c>
    </row>
    <row r="451" spans="1:17" x14ac:dyDescent="0.25">
      <c r="A451" s="7" t="s">
        <v>548</v>
      </c>
      <c r="B451" s="3">
        <v>46121</v>
      </c>
      <c r="C451" s="2" t="s">
        <v>997</v>
      </c>
      <c r="D451" s="2" t="s">
        <v>1509</v>
      </c>
      <c r="E451" s="3">
        <v>38360</v>
      </c>
      <c r="F451" s="2" t="s">
        <v>138</v>
      </c>
      <c r="G451" s="2" t="s">
        <v>138</v>
      </c>
      <c r="H451" s="2" t="s">
        <v>138</v>
      </c>
      <c r="I451" s="2" t="s">
        <v>1059</v>
      </c>
      <c r="J451" s="2" t="s">
        <v>1059</v>
      </c>
      <c r="K451" s="2" t="s">
        <v>1559</v>
      </c>
      <c r="L451" s="2" t="s">
        <v>1568</v>
      </c>
      <c r="M451" s="5" t="s">
        <v>1570</v>
      </c>
      <c r="N451" s="8" t="s">
        <v>1578</v>
      </c>
      <c r="O451" s="2">
        <f ca="1">DATEDIF(Addmisson[[#This Row],[Student_DOB]],TODAY(),"y")</f>
        <v>21</v>
      </c>
      <c r="P451" s="2" t="str">
        <f>TEXT(Addmisson[[#This Row],[Admission_Date]],"mmmm")</f>
        <v>April</v>
      </c>
      <c r="Q451" s="2">
        <f>YEAR(Addmisson[[#This Row],[Admission_Date]])</f>
        <v>2026</v>
      </c>
    </row>
    <row r="452" spans="1:17" x14ac:dyDescent="0.25">
      <c r="A452" s="7" t="s">
        <v>549</v>
      </c>
      <c r="B452" s="3">
        <v>46122</v>
      </c>
      <c r="C452" s="2" t="s">
        <v>998</v>
      </c>
      <c r="D452" s="2" t="s">
        <v>1510</v>
      </c>
      <c r="E452" s="3">
        <v>38211</v>
      </c>
      <c r="F452" s="2" t="s">
        <v>127</v>
      </c>
      <c r="G452" s="2" t="s">
        <v>127</v>
      </c>
      <c r="H452" s="2" t="s">
        <v>141</v>
      </c>
      <c r="I452" s="2" t="s">
        <v>1060</v>
      </c>
      <c r="J452" s="2" t="s">
        <v>21</v>
      </c>
      <c r="K452" s="2" t="s">
        <v>1560</v>
      </c>
      <c r="L452" s="2" t="s">
        <v>1568</v>
      </c>
      <c r="M452" s="5" t="s">
        <v>1575</v>
      </c>
      <c r="N452" s="8" t="s">
        <v>1578</v>
      </c>
      <c r="O452" s="2">
        <f ca="1">DATEDIF(Addmisson[[#This Row],[Student_DOB]],TODAY(),"y")</f>
        <v>22</v>
      </c>
      <c r="P452" s="2" t="str">
        <f>TEXT(Addmisson[[#This Row],[Admission_Date]],"mmmm")</f>
        <v>April</v>
      </c>
      <c r="Q452" s="2">
        <f>YEAR(Addmisson[[#This Row],[Admission_Date]])</f>
        <v>2026</v>
      </c>
    </row>
    <row r="453" spans="1:17" x14ac:dyDescent="0.25">
      <c r="A453" s="7" t="s">
        <v>550</v>
      </c>
      <c r="B453" s="3">
        <v>46123</v>
      </c>
      <c r="C453" s="2" t="s">
        <v>999</v>
      </c>
      <c r="D453" s="2" t="s">
        <v>1511</v>
      </c>
      <c r="E453" s="3">
        <v>39903</v>
      </c>
      <c r="F453" s="2" t="s">
        <v>138</v>
      </c>
      <c r="G453" s="2" t="s">
        <v>138</v>
      </c>
      <c r="H453" s="2" t="s">
        <v>138</v>
      </c>
      <c r="I453" s="2" t="s">
        <v>1047</v>
      </c>
      <c r="J453" s="2" t="s">
        <v>1048</v>
      </c>
      <c r="K453" s="2" t="s">
        <v>1561</v>
      </c>
      <c r="L453" s="2" t="s">
        <v>1568</v>
      </c>
      <c r="M453" s="5" t="s">
        <v>1571</v>
      </c>
      <c r="N453" s="8" t="s">
        <v>1578</v>
      </c>
      <c r="O453" s="2">
        <f ca="1">DATEDIF(Addmisson[[#This Row],[Student_DOB]],TODAY(),"y")</f>
        <v>17</v>
      </c>
      <c r="P453" s="2" t="str">
        <f>TEXT(Addmisson[[#This Row],[Admission_Date]],"mmmm")</f>
        <v>April</v>
      </c>
      <c r="Q453" s="2">
        <f>YEAR(Addmisson[[#This Row],[Admission_Date]])</f>
        <v>2026</v>
      </c>
    </row>
    <row r="454" spans="1:17" x14ac:dyDescent="0.25">
      <c r="A454" s="7" t="s">
        <v>551</v>
      </c>
      <c r="B454" s="3">
        <v>46124</v>
      </c>
      <c r="C454" s="2" t="s">
        <v>1000</v>
      </c>
      <c r="D454" s="2" t="s">
        <v>1512</v>
      </c>
      <c r="E454" s="3">
        <v>38234</v>
      </c>
      <c r="F454" s="2" t="s">
        <v>127</v>
      </c>
      <c r="G454" s="2" t="s">
        <v>127</v>
      </c>
      <c r="H454" s="2" t="s">
        <v>141</v>
      </c>
      <c r="I454" s="2" t="s">
        <v>1049</v>
      </c>
      <c r="J454" s="2" t="s">
        <v>1050</v>
      </c>
      <c r="K454" s="2" t="s">
        <v>1562</v>
      </c>
      <c r="L454" s="2" t="s">
        <v>1568</v>
      </c>
      <c r="M454" s="5" t="s">
        <v>1572</v>
      </c>
      <c r="N454" s="8" t="s">
        <v>1578</v>
      </c>
      <c r="O454" s="2">
        <f ca="1">DATEDIF(Addmisson[[#This Row],[Student_DOB]],TODAY(),"y")</f>
        <v>22</v>
      </c>
      <c r="P454" s="2" t="str">
        <f>TEXT(Addmisson[[#This Row],[Admission_Date]],"mmmm")</f>
        <v>April</v>
      </c>
      <c r="Q454" s="2">
        <f>YEAR(Addmisson[[#This Row],[Admission_Date]])</f>
        <v>2026</v>
      </c>
    </row>
    <row r="455" spans="1:17" x14ac:dyDescent="0.25">
      <c r="A455" s="7" t="s">
        <v>552</v>
      </c>
      <c r="B455" s="3">
        <v>46125</v>
      </c>
      <c r="C455" s="2" t="s">
        <v>1001</v>
      </c>
      <c r="D455" s="2" t="s">
        <v>1513</v>
      </c>
      <c r="E455" s="3">
        <v>38703</v>
      </c>
      <c r="F455" s="2" t="s">
        <v>129</v>
      </c>
      <c r="G455" s="2" t="s">
        <v>129</v>
      </c>
      <c r="H455" s="2" t="s">
        <v>143</v>
      </c>
      <c r="I455" s="2" t="s">
        <v>1051</v>
      </c>
      <c r="J455" s="2" t="s">
        <v>1052</v>
      </c>
      <c r="K455" s="2" t="s">
        <v>1563</v>
      </c>
      <c r="L455" s="2" t="s">
        <v>1568</v>
      </c>
      <c r="M455" s="5" t="s">
        <v>1573</v>
      </c>
      <c r="N455" s="8" t="s">
        <v>1578</v>
      </c>
      <c r="O455" s="2">
        <f ca="1">DATEDIF(Addmisson[[#This Row],[Student_DOB]],TODAY(),"y")</f>
        <v>20</v>
      </c>
      <c r="P455" s="2" t="str">
        <f>TEXT(Addmisson[[#This Row],[Admission_Date]],"mmmm")</f>
        <v>April</v>
      </c>
      <c r="Q455" s="2">
        <f>YEAR(Addmisson[[#This Row],[Admission_Date]])</f>
        <v>2026</v>
      </c>
    </row>
    <row r="456" spans="1:17" x14ac:dyDescent="0.25">
      <c r="A456" s="7" t="s">
        <v>553</v>
      </c>
      <c r="B456" s="3">
        <v>46126</v>
      </c>
      <c r="C456" s="2" t="s">
        <v>1002</v>
      </c>
      <c r="D456" s="2" t="s">
        <v>1514</v>
      </c>
      <c r="E456" s="3">
        <v>38130</v>
      </c>
      <c r="F456" s="2" t="s">
        <v>14</v>
      </c>
      <c r="G456" s="2" t="s">
        <v>14</v>
      </c>
      <c r="H456" s="2" t="s">
        <v>15</v>
      </c>
      <c r="I456" s="2" t="s">
        <v>1053</v>
      </c>
      <c r="J456" s="2" t="s">
        <v>1052</v>
      </c>
      <c r="K456" s="2" t="s">
        <v>1564</v>
      </c>
      <c r="L456" s="2" t="s">
        <v>1568</v>
      </c>
      <c r="M456" s="5" t="s">
        <v>1574</v>
      </c>
      <c r="N456" s="8" t="s">
        <v>1578</v>
      </c>
      <c r="O456" s="2">
        <f ca="1">DATEDIF(Addmisson[[#This Row],[Student_DOB]],TODAY(),"y")</f>
        <v>22</v>
      </c>
      <c r="P456" s="2" t="str">
        <f>TEXT(Addmisson[[#This Row],[Admission_Date]],"mmmm")</f>
        <v>April</v>
      </c>
      <c r="Q456" s="2">
        <f>YEAR(Addmisson[[#This Row],[Admission_Date]])</f>
        <v>2026</v>
      </c>
    </row>
    <row r="457" spans="1:17" x14ac:dyDescent="0.25">
      <c r="A457" s="7" t="s">
        <v>554</v>
      </c>
      <c r="B457" s="3">
        <v>46127</v>
      </c>
      <c r="C457" s="2" t="s">
        <v>1003</v>
      </c>
      <c r="D457" s="2" t="s">
        <v>1515</v>
      </c>
      <c r="E457" s="3">
        <v>38389</v>
      </c>
      <c r="F457" s="2" t="s">
        <v>145</v>
      </c>
      <c r="G457" s="2" t="s">
        <v>145</v>
      </c>
      <c r="H457" s="2" t="s">
        <v>145</v>
      </c>
      <c r="I457" s="2" t="s">
        <v>1054</v>
      </c>
      <c r="J457" s="2" t="s">
        <v>1052</v>
      </c>
      <c r="K457" s="2" t="s">
        <v>1565</v>
      </c>
      <c r="L457" s="2" t="s">
        <v>1568</v>
      </c>
      <c r="M457" s="5" t="s">
        <v>1576</v>
      </c>
      <c r="N457" s="8" t="s">
        <v>1578</v>
      </c>
      <c r="O457" s="2">
        <f ca="1">DATEDIF(Addmisson[[#This Row],[Student_DOB]],TODAY(),"y")</f>
        <v>21</v>
      </c>
      <c r="P457" s="2" t="str">
        <f>TEXT(Addmisson[[#This Row],[Admission_Date]],"mmmm")</f>
        <v>April</v>
      </c>
      <c r="Q457" s="2">
        <f>YEAR(Addmisson[[#This Row],[Admission_Date]])</f>
        <v>2026</v>
      </c>
    </row>
    <row r="458" spans="1:17" x14ac:dyDescent="0.25">
      <c r="A458" s="7" t="s">
        <v>555</v>
      </c>
      <c r="B458" s="3">
        <v>46128</v>
      </c>
      <c r="C458" s="2" t="s">
        <v>1004</v>
      </c>
      <c r="D458" s="2" t="s">
        <v>1516</v>
      </c>
      <c r="E458" s="3">
        <v>38196</v>
      </c>
      <c r="F458" s="2" t="s">
        <v>127</v>
      </c>
      <c r="G458" s="2" t="s">
        <v>127</v>
      </c>
      <c r="H458" s="2" t="s">
        <v>144</v>
      </c>
      <c r="I458" s="2" t="s">
        <v>1055</v>
      </c>
      <c r="J458" s="2" t="s">
        <v>1055</v>
      </c>
      <c r="K458" s="2" t="s">
        <v>1558</v>
      </c>
      <c r="L458" s="2" t="s">
        <v>1568</v>
      </c>
      <c r="M458" s="5" t="s">
        <v>1577</v>
      </c>
      <c r="N458" s="8" t="s">
        <v>1578</v>
      </c>
      <c r="O458" s="2">
        <f ca="1">DATEDIF(Addmisson[[#This Row],[Student_DOB]],TODAY(),"y")</f>
        <v>22</v>
      </c>
      <c r="P458" s="2" t="str">
        <f>TEXT(Addmisson[[#This Row],[Admission_Date]],"mmmm")</f>
        <v>April</v>
      </c>
      <c r="Q458" s="2">
        <f>YEAR(Addmisson[[#This Row],[Admission_Date]])</f>
        <v>2026</v>
      </c>
    </row>
    <row r="459" spans="1:17" x14ac:dyDescent="0.25">
      <c r="A459" s="7" t="s">
        <v>556</v>
      </c>
      <c r="B459" s="3">
        <v>46129</v>
      </c>
      <c r="C459" s="2" t="s">
        <v>1005</v>
      </c>
      <c r="D459" s="2" t="s">
        <v>1517</v>
      </c>
      <c r="E459" s="3">
        <v>38671</v>
      </c>
      <c r="F459" s="2" t="s">
        <v>129</v>
      </c>
      <c r="G459" s="2" t="s">
        <v>129</v>
      </c>
      <c r="H459" s="2" t="s">
        <v>147</v>
      </c>
      <c r="I459" s="2" t="s">
        <v>16</v>
      </c>
      <c r="J459" s="2" t="s">
        <v>1056</v>
      </c>
      <c r="K459" s="2" t="s">
        <v>1559</v>
      </c>
      <c r="L459" s="2" t="s">
        <v>1568</v>
      </c>
      <c r="M459" s="5" t="s">
        <v>1570</v>
      </c>
      <c r="N459" s="8" t="s">
        <v>1578</v>
      </c>
      <c r="O459" s="2">
        <f ca="1">DATEDIF(Addmisson[[#This Row],[Student_DOB]],TODAY(),"y")</f>
        <v>20</v>
      </c>
      <c r="P459" s="2" t="str">
        <f>TEXT(Addmisson[[#This Row],[Admission_Date]],"mmmm")</f>
        <v>April</v>
      </c>
      <c r="Q459" s="2">
        <f>YEAR(Addmisson[[#This Row],[Admission_Date]])</f>
        <v>2026</v>
      </c>
    </row>
    <row r="460" spans="1:17" x14ac:dyDescent="0.25">
      <c r="A460" s="7" t="s">
        <v>557</v>
      </c>
      <c r="B460" s="3">
        <v>46130</v>
      </c>
      <c r="C460" s="2" t="s">
        <v>1006</v>
      </c>
      <c r="D460" s="2" t="s">
        <v>1518</v>
      </c>
      <c r="E460" s="3">
        <v>39539</v>
      </c>
      <c r="F460" s="2" t="s">
        <v>27</v>
      </c>
      <c r="G460" s="2" t="s">
        <v>27</v>
      </c>
      <c r="H460" s="2" t="s">
        <v>131</v>
      </c>
      <c r="I460" s="2" t="s">
        <v>1057</v>
      </c>
      <c r="J460" s="2" t="s">
        <v>1058</v>
      </c>
      <c r="K460" s="2" t="s">
        <v>1560</v>
      </c>
      <c r="L460" s="2" t="s">
        <v>1568</v>
      </c>
      <c r="M460" s="5" t="s">
        <v>1575</v>
      </c>
      <c r="N460" s="8" t="s">
        <v>1578</v>
      </c>
      <c r="O460" s="2">
        <f ca="1">DATEDIF(Addmisson[[#This Row],[Student_DOB]],TODAY(),"y")</f>
        <v>18</v>
      </c>
      <c r="P460" s="2" t="str">
        <f>TEXT(Addmisson[[#This Row],[Admission_Date]],"mmmm")</f>
        <v>April</v>
      </c>
      <c r="Q460" s="2">
        <f>YEAR(Addmisson[[#This Row],[Admission_Date]])</f>
        <v>2026</v>
      </c>
    </row>
    <row r="461" spans="1:17" x14ac:dyDescent="0.25">
      <c r="A461" s="7" t="s">
        <v>558</v>
      </c>
      <c r="B461" s="3">
        <v>46131</v>
      </c>
      <c r="C461" s="2" t="s">
        <v>1007</v>
      </c>
      <c r="D461" s="2" t="s">
        <v>1519</v>
      </c>
      <c r="E461" s="3">
        <v>38583</v>
      </c>
      <c r="F461" s="2" t="s">
        <v>127</v>
      </c>
      <c r="G461" s="2" t="s">
        <v>127</v>
      </c>
      <c r="H461" s="2" t="s">
        <v>146</v>
      </c>
      <c r="I461" s="2" t="s">
        <v>1059</v>
      </c>
      <c r="J461" s="2" t="s">
        <v>1059</v>
      </c>
      <c r="K461" s="2" t="s">
        <v>1561</v>
      </c>
      <c r="L461" s="2" t="s">
        <v>1568</v>
      </c>
      <c r="M461" s="5" t="s">
        <v>1571</v>
      </c>
      <c r="N461" s="8" t="s">
        <v>1578</v>
      </c>
      <c r="O461" s="2">
        <f ca="1">DATEDIF(Addmisson[[#This Row],[Student_DOB]],TODAY(),"y")</f>
        <v>21</v>
      </c>
      <c r="P461" s="2" t="str">
        <f>TEXT(Addmisson[[#This Row],[Admission_Date]],"mmmm")</f>
        <v>April</v>
      </c>
      <c r="Q461" s="2">
        <f>YEAR(Addmisson[[#This Row],[Admission_Date]])</f>
        <v>2026</v>
      </c>
    </row>
    <row r="462" spans="1:17" x14ac:dyDescent="0.25">
      <c r="A462" s="7" t="s">
        <v>559</v>
      </c>
      <c r="B462" s="3">
        <v>46132</v>
      </c>
      <c r="C462" s="2" t="s">
        <v>1008</v>
      </c>
      <c r="D462" s="2" t="s">
        <v>1520</v>
      </c>
      <c r="E462" s="3">
        <v>38331</v>
      </c>
      <c r="F462" s="2" t="s">
        <v>142</v>
      </c>
      <c r="G462" s="2" t="s">
        <v>142</v>
      </c>
      <c r="H462" s="2" t="s">
        <v>142</v>
      </c>
      <c r="I462" s="2" t="s">
        <v>1060</v>
      </c>
      <c r="J462" s="2" t="s">
        <v>21</v>
      </c>
      <c r="K462" s="2" t="s">
        <v>1562</v>
      </c>
      <c r="L462" s="2" t="s">
        <v>1568</v>
      </c>
      <c r="M462" s="5" t="s">
        <v>1572</v>
      </c>
      <c r="N462" s="8" t="s">
        <v>1578</v>
      </c>
      <c r="O462" s="2">
        <f ca="1">DATEDIF(Addmisson[[#This Row],[Student_DOB]],TODAY(),"y")</f>
        <v>21</v>
      </c>
      <c r="P462" s="2" t="str">
        <f>TEXT(Addmisson[[#This Row],[Admission_Date]],"mmmm")</f>
        <v>April</v>
      </c>
      <c r="Q462" s="2">
        <f>YEAR(Addmisson[[#This Row],[Admission_Date]])</f>
        <v>2026</v>
      </c>
    </row>
    <row r="463" spans="1:17" x14ac:dyDescent="0.25">
      <c r="A463" s="7" t="s">
        <v>560</v>
      </c>
      <c r="B463" s="3">
        <v>46133</v>
      </c>
      <c r="C463" s="2" t="s">
        <v>1009</v>
      </c>
      <c r="D463" s="2" t="s">
        <v>1521</v>
      </c>
      <c r="E463" s="3">
        <v>38435</v>
      </c>
      <c r="F463" s="2" t="s">
        <v>129</v>
      </c>
      <c r="G463" s="2" t="s">
        <v>129</v>
      </c>
      <c r="H463" s="2" t="s">
        <v>130</v>
      </c>
      <c r="I463" s="2" t="s">
        <v>1047</v>
      </c>
      <c r="J463" s="2" t="s">
        <v>1048</v>
      </c>
      <c r="K463" s="2" t="s">
        <v>1563</v>
      </c>
      <c r="L463" s="2" t="s">
        <v>1568</v>
      </c>
      <c r="M463" s="5" t="s">
        <v>1573</v>
      </c>
      <c r="N463" s="8" t="s">
        <v>1578</v>
      </c>
      <c r="O463" s="2">
        <f ca="1">DATEDIF(Addmisson[[#This Row],[Student_DOB]],TODAY(),"y")</f>
        <v>21</v>
      </c>
      <c r="P463" s="2" t="str">
        <f>TEXT(Addmisson[[#This Row],[Admission_Date]],"mmmm")</f>
        <v>April</v>
      </c>
      <c r="Q463" s="2">
        <f>YEAR(Addmisson[[#This Row],[Admission_Date]])</f>
        <v>2026</v>
      </c>
    </row>
    <row r="464" spans="1:17" x14ac:dyDescent="0.25">
      <c r="A464" s="7" t="s">
        <v>561</v>
      </c>
      <c r="B464" s="3">
        <v>46134</v>
      </c>
      <c r="C464" s="2" t="s">
        <v>1010</v>
      </c>
      <c r="D464" s="2" t="s">
        <v>1522</v>
      </c>
      <c r="E464" s="3">
        <v>38145</v>
      </c>
      <c r="F464" s="2" t="s">
        <v>127</v>
      </c>
      <c r="G464" s="2" t="s">
        <v>127</v>
      </c>
      <c r="H464" s="2" t="s">
        <v>128</v>
      </c>
      <c r="I464" s="2" t="s">
        <v>1049</v>
      </c>
      <c r="J464" s="2" t="s">
        <v>1050</v>
      </c>
      <c r="K464" s="2" t="s">
        <v>1564</v>
      </c>
      <c r="L464" s="2" t="s">
        <v>1568</v>
      </c>
      <c r="M464" s="5" t="s">
        <v>1570</v>
      </c>
      <c r="N464" s="8" t="s">
        <v>1578</v>
      </c>
      <c r="O464" s="2">
        <f ca="1">DATEDIF(Addmisson[[#This Row],[Student_DOB]],TODAY(),"y")</f>
        <v>22</v>
      </c>
      <c r="P464" s="2" t="str">
        <f>TEXT(Addmisson[[#This Row],[Admission_Date]],"mmmm")</f>
        <v>April</v>
      </c>
      <c r="Q464" s="2">
        <f>YEAR(Addmisson[[#This Row],[Admission_Date]])</f>
        <v>2026</v>
      </c>
    </row>
    <row r="465" spans="1:17" x14ac:dyDescent="0.25">
      <c r="A465" s="7" t="s">
        <v>562</v>
      </c>
      <c r="B465" s="3">
        <v>46135</v>
      </c>
      <c r="C465" s="2" t="s">
        <v>1011</v>
      </c>
      <c r="D465" s="2" t="s">
        <v>1313</v>
      </c>
      <c r="E465" s="3">
        <v>38638</v>
      </c>
      <c r="F465" s="2" t="s">
        <v>148</v>
      </c>
      <c r="G465" s="2" t="s">
        <v>148</v>
      </c>
      <c r="H465" s="2" t="s">
        <v>148</v>
      </c>
      <c r="I465" s="2" t="s">
        <v>1051</v>
      </c>
      <c r="J465" s="2" t="s">
        <v>1052</v>
      </c>
      <c r="K465" s="2" t="s">
        <v>1565</v>
      </c>
      <c r="L465" s="2" t="s">
        <v>1568</v>
      </c>
      <c r="M465" s="5" t="s">
        <v>1575</v>
      </c>
      <c r="N465" s="8" t="s">
        <v>1578</v>
      </c>
      <c r="O465" s="2">
        <f ca="1">DATEDIF(Addmisson[[#This Row],[Student_DOB]],TODAY(),"y")</f>
        <v>21</v>
      </c>
      <c r="P465" s="2" t="str">
        <f>TEXT(Addmisson[[#This Row],[Admission_Date]],"mmmm")</f>
        <v>April</v>
      </c>
      <c r="Q465" s="2">
        <f>YEAR(Addmisson[[#This Row],[Admission_Date]])</f>
        <v>2026</v>
      </c>
    </row>
    <row r="466" spans="1:17" x14ac:dyDescent="0.25">
      <c r="A466" s="7" t="s">
        <v>563</v>
      </c>
      <c r="B466" s="3">
        <v>46136</v>
      </c>
      <c r="C466" s="2" t="s">
        <v>1012</v>
      </c>
      <c r="D466" s="2" t="s">
        <v>1523</v>
      </c>
      <c r="E466" s="3">
        <v>39108</v>
      </c>
      <c r="F466" s="2" t="s">
        <v>14</v>
      </c>
      <c r="G466" s="2" t="s">
        <v>14</v>
      </c>
      <c r="H466" s="2" t="s">
        <v>132</v>
      </c>
      <c r="I466" s="2" t="s">
        <v>1053</v>
      </c>
      <c r="J466" s="2" t="s">
        <v>1052</v>
      </c>
      <c r="K466" s="2" t="s">
        <v>1558</v>
      </c>
      <c r="L466" s="2" t="s">
        <v>1568</v>
      </c>
      <c r="M466" s="5" t="s">
        <v>1571</v>
      </c>
      <c r="N466" s="8" t="s">
        <v>1578</v>
      </c>
      <c r="O466" s="2">
        <f ca="1">DATEDIF(Addmisson[[#This Row],[Student_DOB]],TODAY(),"y")</f>
        <v>19</v>
      </c>
      <c r="P466" s="2" t="str">
        <f>TEXT(Addmisson[[#This Row],[Admission_Date]],"mmmm")</f>
        <v>April</v>
      </c>
      <c r="Q466" s="2">
        <f>YEAR(Addmisson[[#This Row],[Admission_Date]])</f>
        <v>2026</v>
      </c>
    </row>
    <row r="467" spans="1:17" x14ac:dyDescent="0.25">
      <c r="A467" s="7" t="s">
        <v>564</v>
      </c>
      <c r="B467" s="3">
        <v>46137</v>
      </c>
      <c r="C467" s="2" t="s">
        <v>1013</v>
      </c>
      <c r="D467" s="2" t="s">
        <v>1524</v>
      </c>
      <c r="E467" s="3">
        <v>38474</v>
      </c>
      <c r="F467" s="2" t="s">
        <v>127</v>
      </c>
      <c r="G467" s="2" t="s">
        <v>127</v>
      </c>
      <c r="H467" s="2" t="s">
        <v>133</v>
      </c>
      <c r="I467" s="2" t="s">
        <v>1054</v>
      </c>
      <c r="J467" s="2" t="s">
        <v>1052</v>
      </c>
      <c r="K467" s="2" t="s">
        <v>1559</v>
      </c>
      <c r="L467" s="2" t="s">
        <v>1568</v>
      </c>
      <c r="M467" s="5" t="s">
        <v>1572</v>
      </c>
      <c r="N467" s="8" t="s">
        <v>1578</v>
      </c>
      <c r="O467" s="2">
        <f ca="1">DATEDIF(Addmisson[[#This Row],[Student_DOB]],TODAY(),"y")</f>
        <v>21</v>
      </c>
      <c r="P467" s="2" t="str">
        <f>TEXT(Addmisson[[#This Row],[Admission_Date]],"mmmm")</f>
        <v>April</v>
      </c>
      <c r="Q467" s="2">
        <f>YEAR(Addmisson[[#This Row],[Admission_Date]])</f>
        <v>2026</v>
      </c>
    </row>
    <row r="468" spans="1:17" x14ac:dyDescent="0.25">
      <c r="A468" s="7" t="s">
        <v>565</v>
      </c>
      <c r="B468" s="3">
        <v>46138</v>
      </c>
      <c r="C468" s="2" t="s">
        <v>1014</v>
      </c>
      <c r="D468" s="2" t="s">
        <v>1525</v>
      </c>
      <c r="E468" s="3">
        <v>38248</v>
      </c>
      <c r="F468" s="2" t="s">
        <v>138</v>
      </c>
      <c r="G468" s="2" t="s">
        <v>138</v>
      </c>
      <c r="H468" s="2" t="s">
        <v>138</v>
      </c>
      <c r="I468" s="2" t="s">
        <v>1055</v>
      </c>
      <c r="J468" s="2" t="s">
        <v>1055</v>
      </c>
      <c r="K468" s="2" t="s">
        <v>1560</v>
      </c>
      <c r="L468" s="2" t="s">
        <v>1568</v>
      </c>
      <c r="M468" s="5" t="s">
        <v>1573</v>
      </c>
      <c r="N468" s="8" t="s">
        <v>1578</v>
      </c>
      <c r="O468" s="2">
        <f ca="1">DATEDIF(Addmisson[[#This Row],[Student_DOB]],TODAY(),"y")</f>
        <v>22</v>
      </c>
      <c r="P468" s="2" t="str">
        <f>TEXT(Addmisson[[#This Row],[Admission_Date]],"mmmm")</f>
        <v>April</v>
      </c>
      <c r="Q468" s="2">
        <f>YEAR(Addmisson[[#This Row],[Admission_Date]])</f>
        <v>2026</v>
      </c>
    </row>
    <row r="469" spans="1:17" x14ac:dyDescent="0.25">
      <c r="A469" s="7" t="s">
        <v>566</v>
      </c>
      <c r="B469" s="3">
        <v>46139</v>
      </c>
      <c r="C469" s="2" t="s">
        <v>1015</v>
      </c>
      <c r="D469" s="2" t="s">
        <v>1526</v>
      </c>
      <c r="E469" s="3">
        <v>38532</v>
      </c>
      <c r="F469" s="2" t="s">
        <v>127</v>
      </c>
      <c r="G469" s="2" t="s">
        <v>127</v>
      </c>
      <c r="H469" s="2" t="s">
        <v>141</v>
      </c>
      <c r="I469" s="2" t="s">
        <v>16</v>
      </c>
      <c r="J469" s="2" t="s">
        <v>1056</v>
      </c>
      <c r="K469" s="2" t="s">
        <v>1561</v>
      </c>
      <c r="L469" s="2" t="s">
        <v>1568</v>
      </c>
      <c r="M469" s="5" t="s">
        <v>1574</v>
      </c>
      <c r="N469" s="8" t="s">
        <v>1578</v>
      </c>
      <c r="O469" s="2">
        <f ca="1">DATEDIF(Addmisson[[#This Row],[Student_DOB]],TODAY(),"y")</f>
        <v>21</v>
      </c>
      <c r="P469" s="2" t="str">
        <f>TEXT(Addmisson[[#This Row],[Admission_Date]],"mmmm")</f>
        <v>April</v>
      </c>
      <c r="Q469" s="2">
        <f>YEAR(Addmisson[[#This Row],[Admission_Date]])</f>
        <v>2026</v>
      </c>
    </row>
    <row r="470" spans="1:17" x14ac:dyDescent="0.25">
      <c r="A470" s="7" t="s">
        <v>567</v>
      </c>
      <c r="B470" s="3">
        <v>46140</v>
      </c>
      <c r="C470" s="2" t="s">
        <v>1016</v>
      </c>
      <c r="D470" s="2" t="s">
        <v>1527</v>
      </c>
      <c r="E470" s="3">
        <v>38051</v>
      </c>
      <c r="F470" s="2" t="s">
        <v>129</v>
      </c>
      <c r="G470" s="2" t="s">
        <v>129</v>
      </c>
      <c r="H470" s="2" t="s">
        <v>143</v>
      </c>
      <c r="I470" s="2" t="s">
        <v>1057</v>
      </c>
      <c r="J470" s="2" t="s">
        <v>1058</v>
      </c>
      <c r="K470" s="2" t="s">
        <v>1562</v>
      </c>
      <c r="L470" s="2" t="s">
        <v>1568</v>
      </c>
      <c r="M470" s="5" t="s">
        <v>1576</v>
      </c>
      <c r="N470" s="8" t="s">
        <v>1578</v>
      </c>
      <c r="O470" s="2">
        <f ca="1">DATEDIF(Addmisson[[#This Row],[Student_DOB]],TODAY(),"y")</f>
        <v>22</v>
      </c>
      <c r="P470" s="2" t="str">
        <f>TEXT(Addmisson[[#This Row],[Admission_Date]],"mmmm")</f>
        <v>April</v>
      </c>
      <c r="Q470" s="2">
        <f>YEAR(Addmisson[[#This Row],[Admission_Date]])</f>
        <v>2026</v>
      </c>
    </row>
    <row r="471" spans="1:17" x14ac:dyDescent="0.25">
      <c r="A471" s="7" t="s">
        <v>568</v>
      </c>
      <c r="B471" s="3">
        <v>46141</v>
      </c>
      <c r="C471" s="2" t="s">
        <v>1017</v>
      </c>
      <c r="D471" s="2" t="s">
        <v>1528</v>
      </c>
      <c r="E471" s="3">
        <v>38585</v>
      </c>
      <c r="F471" s="2" t="s">
        <v>14</v>
      </c>
      <c r="G471" s="2" t="s">
        <v>14</v>
      </c>
      <c r="H471" s="2" t="s">
        <v>15</v>
      </c>
      <c r="I471" s="2" t="s">
        <v>1059</v>
      </c>
      <c r="J471" s="2" t="s">
        <v>1059</v>
      </c>
      <c r="K471" s="2" t="s">
        <v>1563</v>
      </c>
      <c r="L471" s="2" t="s">
        <v>1568</v>
      </c>
      <c r="M471" s="5" t="s">
        <v>1577</v>
      </c>
      <c r="N471" s="8" t="s">
        <v>1578</v>
      </c>
      <c r="O471" s="2">
        <f ca="1">DATEDIF(Addmisson[[#This Row],[Student_DOB]],TODAY(),"y")</f>
        <v>21</v>
      </c>
      <c r="P471" s="2" t="str">
        <f>TEXT(Addmisson[[#This Row],[Admission_Date]],"mmmm")</f>
        <v>April</v>
      </c>
      <c r="Q471" s="2">
        <f>YEAR(Addmisson[[#This Row],[Admission_Date]])</f>
        <v>2026</v>
      </c>
    </row>
    <row r="472" spans="1:17" x14ac:dyDescent="0.25">
      <c r="A472" s="7" t="s">
        <v>569</v>
      </c>
      <c r="B472" s="3">
        <v>46142</v>
      </c>
      <c r="C472" s="2" t="s">
        <v>1018</v>
      </c>
      <c r="D472" s="2" t="s">
        <v>1529</v>
      </c>
      <c r="E472" s="3">
        <v>38305</v>
      </c>
      <c r="F472" s="2" t="s">
        <v>145</v>
      </c>
      <c r="G472" s="2" t="s">
        <v>145</v>
      </c>
      <c r="H472" s="2" t="s">
        <v>145</v>
      </c>
      <c r="I472" s="2" t="s">
        <v>1060</v>
      </c>
      <c r="J472" s="2" t="s">
        <v>21</v>
      </c>
      <c r="K472" s="2" t="s">
        <v>1564</v>
      </c>
      <c r="L472" s="2" t="s">
        <v>1568</v>
      </c>
      <c r="M472" s="5" t="s">
        <v>1570</v>
      </c>
      <c r="N472" s="8" t="s">
        <v>1578</v>
      </c>
      <c r="O472" s="2">
        <f ca="1">DATEDIF(Addmisson[[#This Row],[Student_DOB]],TODAY(),"y")</f>
        <v>21</v>
      </c>
      <c r="P472" s="2" t="str">
        <f>TEXT(Addmisson[[#This Row],[Admission_Date]],"mmmm")</f>
        <v>April</v>
      </c>
      <c r="Q472" s="2">
        <f>YEAR(Addmisson[[#This Row],[Admission_Date]])</f>
        <v>2026</v>
      </c>
    </row>
    <row r="473" spans="1:17" x14ac:dyDescent="0.25">
      <c r="A473" s="7" t="s">
        <v>570</v>
      </c>
      <c r="B473" s="3">
        <v>46143</v>
      </c>
      <c r="C473" s="2" t="s">
        <v>1019</v>
      </c>
      <c r="D473" s="2" t="s">
        <v>1530</v>
      </c>
      <c r="E473" s="3">
        <v>38451</v>
      </c>
      <c r="F473" s="2" t="s">
        <v>127</v>
      </c>
      <c r="G473" s="2" t="s">
        <v>127</v>
      </c>
      <c r="H473" s="2" t="s">
        <v>144</v>
      </c>
      <c r="I473" s="2" t="s">
        <v>1047</v>
      </c>
      <c r="J473" s="2" t="s">
        <v>1048</v>
      </c>
      <c r="K473" s="2" t="s">
        <v>1565</v>
      </c>
      <c r="L473" s="2" t="s">
        <v>1568</v>
      </c>
      <c r="M473" s="5" t="s">
        <v>1575</v>
      </c>
      <c r="N473" s="8" t="s">
        <v>1578</v>
      </c>
      <c r="O473" s="2">
        <f ca="1">DATEDIF(Addmisson[[#This Row],[Student_DOB]],TODAY(),"y")</f>
        <v>21</v>
      </c>
      <c r="P473" s="2" t="str">
        <f>TEXT(Addmisson[[#This Row],[Admission_Date]],"mmmm")</f>
        <v>May</v>
      </c>
      <c r="Q473" s="2">
        <f>YEAR(Addmisson[[#This Row],[Admission_Date]])</f>
        <v>2026</v>
      </c>
    </row>
    <row r="474" spans="1:17" x14ac:dyDescent="0.25">
      <c r="A474" s="7" t="s">
        <v>571</v>
      </c>
      <c r="B474" s="3">
        <v>46144</v>
      </c>
      <c r="C474" s="2" t="s">
        <v>1020</v>
      </c>
      <c r="D474" s="2" t="s">
        <v>1532</v>
      </c>
      <c r="E474" s="3">
        <v>38198</v>
      </c>
      <c r="F474" s="2" t="s">
        <v>129</v>
      </c>
      <c r="G474" s="2" t="s">
        <v>129</v>
      </c>
      <c r="H474" s="2" t="s">
        <v>147</v>
      </c>
      <c r="I474" s="2" t="s">
        <v>1049</v>
      </c>
      <c r="J474" s="2" t="s">
        <v>1050</v>
      </c>
      <c r="K474" s="2" t="s">
        <v>1558</v>
      </c>
      <c r="L474" s="2" t="s">
        <v>1568</v>
      </c>
      <c r="M474" s="5" t="s">
        <v>1571</v>
      </c>
      <c r="N474" s="8" t="s">
        <v>1578</v>
      </c>
      <c r="O474" s="2">
        <f ca="1">DATEDIF(Addmisson[[#This Row],[Student_DOB]],TODAY(),"y")</f>
        <v>22</v>
      </c>
      <c r="P474" s="2" t="str">
        <f>TEXT(Addmisson[[#This Row],[Admission_Date]],"mmmm")</f>
        <v>May</v>
      </c>
      <c r="Q474" s="2">
        <f>YEAR(Addmisson[[#This Row],[Admission_Date]])</f>
        <v>2026</v>
      </c>
    </row>
    <row r="475" spans="1:17" x14ac:dyDescent="0.25">
      <c r="A475" s="7" t="s">
        <v>572</v>
      </c>
      <c r="B475" s="3">
        <v>46145</v>
      </c>
      <c r="C475" s="2" t="s">
        <v>1021</v>
      </c>
      <c r="D475" s="2" t="s">
        <v>1533</v>
      </c>
      <c r="E475" s="3">
        <v>38399</v>
      </c>
      <c r="F475" s="2" t="s">
        <v>27</v>
      </c>
      <c r="G475" s="2" t="s">
        <v>27</v>
      </c>
      <c r="H475" s="2" t="s">
        <v>131</v>
      </c>
      <c r="I475" s="2" t="s">
        <v>1051</v>
      </c>
      <c r="J475" s="2" t="s">
        <v>1052</v>
      </c>
      <c r="K475" s="2" t="s">
        <v>1559</v>
      </c>
      <c r="L475" s="2" t="s">
        <v>1568</v>
      </c>
      <c r="M475" s="5" t="s">
        <v>1572</v>
      </c>
      <c r="N475" s="8" t="s">
        <v>1578</v>
      </c>
      <c r="O475" s="2">
        <f ca="1">DATEDIF(Addmisson[[#This Row],[Student_DOB]],TODAY(),"y")</f>
        <v>21</v>
      </c>
      <c r="P475" s="2" t="str">
        <f>TEXT(Addmisson[[#This Row],[Admission_Date]],"mmmm")</f>
        <v>May</v>
      </c>
      <c r="Q475" s="2">
        <f>YEAR(Addmisson[[#This Row],[Admission_Date]])</f>
        <v>2026</v>
      </c>
    </row>
    <row r="476" spans="1:17" x14ac:dyDescent="0.25">
      <c r="A476" s="7" t="s">
        <v>573</v>
      </c>
      <c r="B476" s="3">
        <v>46146</v>
      </c>
      <c r="C476" s="2" t="s">
        <v>1022</v>
      </c>
      <c r="D476" s="2" t="s">
        <v>1534</v>
      </c>
      <c r="E476" s="3">
        <v>38263</v>
      </c>
      <c r="F476" s="2" t="s">
        <v>127</v>
      </c>
      <c r="G476" s="2" t="s">
        <v>127</v>
      </c>
      <c r="H476" s="2" t="s">
        <v>146</v>
      </c>
      <c r="I476" s="2" t="s">
        <v>1053</v>
      </c>
      <c r="J476" s="2" t="s">
        <v>1052</v>
      </c>
      <c r="K476" s="2" t="s">
        <v>1560</v>
      </c>
      <c r="L476" s="2" t="s">
        <v>1568</v>
      </c>
      <c r="M476" s="5" t="s">
        <v>1573</v>
      </c>
      <c r="N476" s="8" t="s">
        <v>1578</v>
      </c>
      <c r="O476" s="2">
        <f ca="1">DATEDIF(Addmisson[[#This Row],[Student_DOB]],TODAY(),"y")</f>
        <v>22</v>
      </c>
      <c r="P476" s="2" t="str">
        <f>TEXT(Addmisson[[#This Row],[Admission_Date]],"mmmm")</f>
        <v>May</v>
      </c>
      <c r="Q476" s="2">
        <f>YEAR(Addmisson[[#This Row],[Admission_Date]])</f>
        <v>2026</v>
      </c>
    </row>
    <row r="477" spans="1:17" x14ac:dyDescent="0.25">
      <c r="A477" s="7" t="s">
        <v>574</v>
      </c>
      <c r="B477" s="3">
        <v>46147</v>
      </c>
      <c r="C477" s="2" t="s">
        <v>1023</v>
      </c>
      <c r="D477" s="2" t="s">
        <v>1535</v>
      </c>
      <c r="E477" s="3">
        <v>39838</v>
      </c>
      <c r="F477" s="2" t="s">
        <v>142</v>
      </c>
      <c r="G477" s="2" t="s">
        <v>142</v>
      </c>
      <c r="H477" s="2" t="s">
        <v>142</v>
      </c>
      <c r="I477" s="2" t="s">
        <v>1054</v>
      </c>
      <c r="J477" s="2" t="s">
        <v>1052</v>
      </c>
      <c r="K477" s="2" t="s">
        <v>1561</v>
      </c>
      <c r="L477" s="2" t="s">
        <v>1568</v>
      </c>
      <c r="M477" s="5" t="s">
        <v>1574</v>
      </c>
      <c r="N477" s="8" t="s">
        <v>1578</v>
      </c>
      <c r="O477" s="2">
        <f ca="1">DATEDIF(Addmisson[[#This Row],[Student_DOB]],TODAY(),"y")</f>
        <v>17</v>
      </c>
      <c r="P477" s="2" t="str">
        <f>TEXT(Addmisson[[#This Row],[Admission_Date]],"mmmm")</f>
        <v>May</v>
      </c>
      <c r="Q477" s="2">
        <f>YEAR(Addmisson[[#This Row],[Admission_Date]])</f>
        <v>2026</v>
      </c>
    </row>
    <row r="478" spans="1:17" x14ac:dyDescent="0.25">
      <c r="A478" s="7" t="s">
        <v>575</v>
      </c>
      <c r="B478" s="3">
        <v>46148</v>
      </c>
      <c r="C478" s="2" t="s">
        <v>1024</v>
      </c>
      <c r="D478" s="2" t="s">
        <v>5</v>
      </c>
      <c r="E478" s="3">
        <v>38149</v>
      </c>
      <c r="F478" s="2" t="s">
        <v>129</v>
      </c>
      <c r="G478" s="2" t="s">
        <v>129</v>
      </c>
      <c r="H478" s="2" t="s">
        <v>130</v>
      </c>
      <c r="I478" s="2" t="s">
        <v>1055</v>
      </c>
      <c r="J478" s="2" t="s">
        <v>1055</v>
      </c>
      <c r="K478" s="2" t="s">
        <v>1562</v>
      </c>
      <c r="L478" s="2" t="s">
        <v>1568</v>
      </c>
      <c r="M478" s="5" t="s">
        <v>1576</v>
      </c>
      <c r="N478" s="8" t="s">
        <v>1578</v>
      </c>
      <c r="O478" s="2">
        <f ca="1">DATEDIF(Addmisson[[#This Row],[Student_DOB]],TODAY(),"y")</f>
        <v>22</v>
      </c>
      <c r="P478" s="2" t="str">
        <f>TEXT(Addmisson[[#This Row],[Admission_Date]],"mmmm")</f>
        <v>May</v>
      </c>
      <c r="Q478" s="2">
        <f>YEAR(Addmisson[[#This Row],[Admission_Date]])</f>
        <v>2026</v>
      </c>
    </row>
    <row r="479" spans="1:17" x14ac:dyDescent="0.25">
      <c r="A479" s="7" t="s">
        <v>576</v>
      </c>
      <c r="B479" s="3">
        <v>46149</v>
      </c>
      <c r="C479" s="2" t="s">
        <v>1025</v>
      </c>
      <c r="D479" s="2" t="s">
        <v>1536</v>
      </c>
      <c r="E479" s="3">
        <v>38694</v>
      </c>
      <c r="F479" s="2" t="s">
        <v>127</v>
      </c>
      <c r="G479" s="2" t="s">
        <v>127</v>
      </c>
      <c r="H479" s="2" t="s">
        <v>128</v>
      </c>
      <c r="I479" s="2" t="s">
        <v>16</v>
      </c>
      <c r="J479" s="2" t="s">
        <v>1056</v>
      </c>
      <c r="K479" s="2" t="s">
        <v>1563</v>
      </c>
      <c r="L479" s="2" t="s">
        <v>1567</v>
      </c>
      <c r="M479" s="5" t="s">
        <v>1577</v>
      </c>
      <c r="N479" s="8" t="s">
        <v>1578</v>
      </c>
      <c r="O479" s="2">
        <f ca="1">DATEDIF(Addmisson[[#This Row],[Student_DOB]],TODAY(),"y")</f>
        <v>20</v>
      </c>
      <c r="P479" s="2" t="str">
        <f>TEXT(Addmisson[[#This Row],[Admission_Date]],"mmmm")</f>
        <v>May</v>
      </c>
      <c r="Q479" s="2">
        <f>YEAR(Addmisson[[#This Row],[Admission_Date]])</f>
        <v>2026</v>
      </c>
    </row>
    <row r="480" spans="1:17" x14ac:dyDescent="0.25">
      <c r="A480" s="7" t="s">
        <v>577</v>
      </c>
      <c r="B480" s="3">
        <v>46150</v>
      </c>
      <c r="C480" s="2" t="s">
        <v>1026</v>
      </c>
      <c r="D480" s="2" t="s">
        <v>1061</v>
      </c>
      <c r="E480" s="3">
        <v>38099</v>
      </c>
      <c r="F480" s="2" t="s">
        <v>148</v>
      </c>
      <c r="G480" s="2" t="s">
        <v>148</v>
      </c>
      <c r="H480" s="2" t="s">
        <v>148</v>
      </c>
      <c r="I480" s="2" t="s">
        <v>1057</v>
      </c>
      <c r="J480" s="2" t="s">
        <v>1058</v>
      </c>
      <c r="K480" s="2" t="s">
        <v>1564</v>
      </c>
      <c r="L480" s="2" t="s">
        <v>1567</v>
      </c>
      <c r="M480" s="5" t="s">
        <v>1570</v>
      </c>
      <c r="N480" s="8" t="s">
        <v>1578</v>
      </c>
      <c r="O480" s="2">
        <f ca="1">DATEDIF(Addmisson[[#This Row],[Student_DOB]],TODAY(),"y")</f>
        <v>22</v>
      </c>
      <c r="P480" s="2" t="str">
        <f>TEXT(Addmisson[[#This Row],[Admission_Date]],"mmmm")</f>
        <v>May</v>
      </c>
      <c r="Q480" s="2">
        <f>YEAR(Addmisson[[#This Row],[Admission_Date]])</f>
        <v>2026</v>
      </c>
    </row>
    <row r="481" spans="1:17" x14ac:dyDescent="0.25">
      <c r="A481" s="7" t="s">
        <v>578</v>
      </c>
      <c r="B481" s="3">
        <v>46151</v>
      </c>
      <c r="C481" s="2" t="s">
        <v>1027</v>
      </c>
      <c r="D481" s="2" t="s">
        <v>1537</v>
      </c>
      <c r="E481" s="3">
        <v>39585</v>
      </c>
      <c r="F481" s="2" t="s">
        <v>14</v>
      </c>
      <c r="G481" s="2" t="s">
        <v>14</v>
      </c>
      <c r="H481" s="2" t="s">
        <v>132</v>
      </c>
      <c r="I481" s="2" t="s">
        <v>1059</v>
      </c>
      <c r="J481" s="2" t="s">
        <v>1059</v>
      </c>
      <c r="K481" s="2" t="s">
        <v>1565</v>
      </c>
      <c r="L481" s="2" t="s">
        <v>1567</v>
      </c>
      <c r="M481" s="5" t="s">
        <v>1575</v>
      </c>
      <c r="N481" s="8" t="s">
        <v>1578</v>
      </c>
      <c r="O481" s="2">
        <f ca="1">DATEDIF(Addmisson[[#This Row],[Student_DOB]],TODAY(),"y")</f>
        <v>18</v>
      </c>
      <c r="P481" s="2" t="str">
        <f>TEXT(Addmisson[[#This Row],[Admission_Date]],"mmmm")</f>
        <v>May</v>
      </c>
      <c r="Q481" s="2">
        <f>YEAR(Addmisson[[#This Row],[Admission_Date]])</f>
        <v>2026</v>
      </c>
    </row>
    <row r="482" spans="1:17" x14ac:dyDescent="0.25">
      <c r="A482" s="7" t="s">
        <v>579</v>
      </c>
      <c r="B482" s="3">
        <v>46152</v>
      </c>
      <c r="C482" s="2" t="s">
        <v>1028</v>
      </c>
      <c r="D482" s="2" t="s">
        <v>1538</v>
      </c>
      <c r="E482" s="3">
        <v>38236</v>
      </c>
      <c r="F482" s="2" t="s">
        <v>127</v>
      </c>
      <c r="G482" s="2" t="s">
        <v>127</v>
      </c>
      <c r="H482" s="2" t="s">
        <v>133</v>
      </c>
      <c r="I482" s="2" t="s">
        <v>1060</v>
      </c>
      <c r="J482" s="2" t="s">
        <v>21</v>
      </c>
      <c r="K482" s="2" t="s">
        <v>1558</v>
      </c>
      <c r="L482" s="2" t="s">
        <v>1567</v>
      </c>
      <c r="M482" s="5" t="s">
        <v>1571</v>
      </c>
      <c r="N482" s="8" t="s">
        <v>1578</v>
      </c>
      <c r="O482" s="2">
        <f ca="1">DATEDIF(Addmisson[[#This Row],[Student_DOB]],TODAY(),"y")</f>
        <v>22</v>
      </c>
      <c r="P482" s="2" t="str">
        <f>TEXT(Addmisson[[#This Row],[Admission_Date]],"mmmm")</f>
        <v>May</v>
      </c>
      <c r="Q482" s="2">
        <f>YEAR(Addmisson[[#This Row],[Admission_Date]])</f>
        <v>2026</v>
      </c>
    </row>
    <row r="483" spans="1:17" x14ac:dyDescent="0.25">
      <c r="A483" s="7" t="s">
        <v>580</v>
      </c>
      <c r="B483" s="3">
        <v>46153</v>
      </c>
      <c r="C483" s="2" t="s">
        <v>1029</v>
      </c>
      <c r="D483" s="2" t="s">
        <v>1539</v>
      </c>
      <c r="E483" s="3">
        <v>38380</v>
      </c>
      <c r="F483" s="2" t="s">
        <v>138</v>
      </c>
      <c r="G483" s="2" t="s">
        <v>138</v>
      </c>
      <c r="H483" s="2" t="s">
        <v>138</v>
      </c>
      <c r="I483" s="2" t="s">
        <v>1047</v>
      </c>
      <c r="J483" s="2" t="s">
        <v>1048</v>
      </c>
      <c r="K483" s="2" t="s">
        <v>1559</v>
      </c>
      <c r="L483" s="2" t="s">
        <v>1568</v>
      </c>
      <c r="M483" s="5" t="s">
        <v>1572</v>
      </c>
      <c r="N483" s="8" t="s">
        <v>1578</v>
      </c>
      <c r="O483" s="2">
        <f ca="1">DATEDIF(Addmisson[[#This Row],[Student_DOB]],TODAY(),"y")</f>
        <v>21</v>
      </c>
      <c r="P483" s="2" t="str">
        <f>TEXT(Addmisson[[#This Row],[Admission_Date]],"mmmm")</f>
        <v>May</v>
      </c>
      <c r="Q483" s="2">
        <f>YEAR(Addmisson[[#This Row],[Admission_Date]])</f>
        <v>2026</v>
      </c>
    </row>
    <row r="484" spans="1:17" x14ac:dyDescent="0.25">
      <c r="A484" s="7" t="s">
        <v>581</v>
      </c>
      <c r="B484" s="3">
        <v>46154</v>
      </c>
      <c r="C484" s="2" t="s">
        <v>1030</v>
      </c>
      <c r="D484" s="2" t="s">
        <v>1540</v>
      </c>
      <c r="E484" s="3">
        <v>38059</v>
      </c>
      <c r="F484" s="2" t="s">
        <v>127</v>
      </c>
      <c r="G484" s="2" t="s">
        <v>127</v>
      </c>
      <c r="H484" s="2" t="s">
        <v>141</v>
      </c>
      <c r="I484" s="2" t="s">
        <v>1049</v>
      </c>
      <c r="J484" s="2" t="s">
        <v>1050</v>
      </c>
      <c r="K484" s="2" t="s">
        <v>1560</v>
      </c>
      <c r="L484" s="2" t="s">
        <v>1567</v>
      </c>
      <c r="M484" s="5" t="s">
        <v>1573</v>
      </c>
      <c r="N484" s="8" t="s">
        <v>1578</v>
      </c>
      <c r="O484" s="2">
        <f ca="1">DATEDIF(Addmisson[[#This Row],[Student_DOB]],TODAY(),"y")</f>
        <v>22</v>
      </c>
      <c r="P484" s="2" t="str">
        <f>TEXT(Addmisson[[#This Row],[Admission_Date]],"mmmm")</f>
        <v>May</v>
      </c>
      <c r="Q484" s="2">
        <f>YEAR(Addmisson[[#This Row],[Admission_Date]])</f>
        <v>2026</v>
      </c>
    </row>
    <row r="485" spans="1:17" x14ac:dyDescent="0.25">
      <c r="A485" s="7" t="s">
        <v>582</v>
      </c>
      <c r="B485" s="3">
        <v>46155</v>
      </c>
      <c r="C485" s="2" t="s">
        <v>1031</v>
      </c>
      <c r="D485" s="2" t="s">
        <v>1541</v>
      </c>
      <c r="E485" s="3">
        <v>38645</v>
      </c>
      <c r="F485" s="2" t="s">
        <v>138</v>
      </c>
      <c r="G485" s="2" t="s">
        <v>138</v>
      </c>
      <c r="H485" s="2" t="s">
        <v>138</v>
      </c>
      <c r="I485" s="2" t="s">
        <v>1051</v>
      </c>
      <c r="J485" s="2" t="s">
        <v>1052</v>
      </c>
      <c r="K485" s="2" t="s">
        <v>1561</v>
      </c>
      <c r="L485" s="2" t="s">
        <v>1567</v>
      </c>
      <c r="M485" s="5" t="s">
        <v>1570</v>
      </c>
      <c r="N485" s="8" t="s">
        <v>1578</v>
      </c>
      <c r="O485" s="2">
        <f ca="1">DATEDIF(Addmisson[[#This Row],[Student_DOB]],TODAY(),"y")</f>
        <v>20</v>
      </c>
      <c r="P485" s="2" t="str">
        <f>TEXT(Addmisson[[#This Row],[Admission_Date]],"mmmm")</f>
        <v>May</v>
      </c>
      <c r="Q485" s="2">
        <f>YEAR(Addmisson[[#This Row],[Admission_Date]])</f>
        <v>2026</v>
      </c>
    </row>
    <row r="486" spans="1:17" x14ac:dyDescent="0.25">
      <c r="A486" s="7" t="s">
        <v>583</v>
      </c>
      <c r="B486" s="3">
        <v>46156</v>
      </c>
      <c r="C486" s="2" t="s">
        <v>1032</v>
      </c>
      <c r="D486" s="2" t="s">
        <v>1542</v>
      </c>
      <c r="E486" s="3">
        <v>38142</v>
      </c>
      <c r="F486" s="2" t="s">
        <v>127</v>
      </c>
      <c r="G486" s="2" t="s">
        <v>127</v>
      </c>
      <c r="H486" s="2" t="s">
        <v>141</v>
      </c>
      <c r="I486" s="2" t="s">
        <v>1053</v>
      </c>
      <c r="J486" s="2" t="s">
        <v>1052</v>
      </c>
      <c r="K486" s="2" t="s">
        <v>1562</v>
      </c>
      <c r="L486" s="2" t="s">
        <v>1567</v>
      </c>
      <c r="M486" s="5" t="s">
        <v>1575</v>
      </c>
      <c r="N486" s="8" t="s">
        <v>1578</v>
      </c>
      <c r="O486" s="2">
        <f ca="1">DATEDIF(Addmisson[[#This Row],[Student_DOB]],TODAY(),"y")</f>
        <v>22</v>
      </c>
      <c r="P486" s="2" t="str">
        <f>TEXT(Addmisson[[#This Row],[Admission_Date]],"mmmm")</f>
        <v>May</v>
      </c>
      <c r="Q486" s="2">
        <f>YEAR(Addmisson[[#This Row],[Admission_Date]])</f>
        <v>2026</v>
      </c>
    </row>
    <row r="487" spans="1:17" x14ac:dyDescent="0.25">
      <c r="A487" s="7" t="s">
        <v>584</v>
      </c>
      <c r="B487" s="3">
        <v>46157</v>
      </c>
      <c r="C487" s="2" t="s">
        <v>1033</v>
      </c>
      <c r="D487" s="2" t="s">
        <v>1543</v>
      </c>
      <c r="E487" s="3">
        <v>38701</v>
      </c>
      <c r="F487" s="2" t="s">
        <v>129</v>
      </c>
      <c r="G487" s="2" t="s">
        <v>129</v>
      </c>
      <c r="H487" s="2" t="s">
        <v>143</v>
      </c>
      <c r="I487" s="2" t="s">
        <v>1054</v>
      </c>
      <c r="J487" s="2" t="s">
        <v>1052</v>
      </c>
      <c r="K487" s="2" t="s">
        <v>1563</v>
      </c>
      <c r="L487" s="2" t="s">
        <v>1567</v>
      </c>
      <c r="M487" s="5" t="s">
        <v>1571</v>
      </c>
      <c r="N487" s="8" t="s">
        <v>1578</v>
      </c>
      <c r="O487" s="2">
        <f ca="1">DATEDIF(Addmisson[[#This Row],[Student_DOB]],TODAY(),"y")</f>
        <v>20</v>
      </c>
      <c r="P487" s="2" t="str">
        <f>TEXT(Addmisson[[#This Row],[Admission_Date]],"mmmm")</f>
        <v>May</v>
      </c>
      <c r="Q487" s="2">
        <f>YEAR(Addmisson[[#This Row],[Admission_Date]])</f>
        <v>2026</v>
      </c>
    </row>
    <row r="488" spans="1:17" x14ac:dyDescent="0.25">
      <c r="A488" s="7" t="s">
        <v>585</v>
      </c>
      <c r="B488" s="3">
        <v>46158</v>
      </c>
      <c r="C488" s="2" t="s">
        <v>1034</v>
      </c>
      <c r="D488" s="2" t="s">
        <v>1544</v>
      </c>
      <c r="E488" s="3">
        <v>38044</v>
      </c>
      <c r="F488" s="2" t="s">
        <v>14</v>
      </c>
      <c r="G488" s="2" t="s">
        <v>14</v>
      </c>
      <c r="H488" s="2" t="s">
        <v>15</v>
      </c>
      <c r="I488" s="2" t="s">
        <v>1055</v>
      </c>
      <c r="J488" s="2" t="s">
        <v>1055</v>
      </c>
      <c r="K488" s="2" t="s">
        <v>1564</v>
      </c>
      <c r="L488" s="2" t="s">
        <v>1568</v>
      </c>
      <c r="M488" s="5" t="s">
        <v>1572</v>
      </c>
      <c r="N488" s="8" t="s">
        <v>1578</v>
      </c>
      <c r="O488" s="2">
        <f ca="1">DATEDIF(Addmisson[[#This Row],[Student_DOB]],TODAY(),"y")</f>
        <v>22</v>
      </c>
      <c r="P488" s="2" t="str">
        <f>TEXT(Addmisson[[#This Row],[Admission_Date]],"mmmm")</f>
        <v>May</v>
      </c>
      <c r="Q488" s="2">
        <f>YEAR(Addmisson[[#This Row],[Admission_Date]])</f>
        <v>2026</v>
      </c>
    </row>
    <row r="489" spans="1:17" x14ac:dyDescent="0.25">
      <c r="A489" s="7" t="s">
        <v>586</v>
      </c>
      <c r="B489" s="3">
        <v>46159</v>
      </c>
      <c r="C489" s="2" t="s">
        <v>1035</v>
      </c>
      <c r="D489" s="2" t="s">
        <v>1545</v>
      </c>
      <c r="E489" s="3">
        <v>38938</v>
      </c>
      <c r="F489" s="2" t="s">
        <v>145</v>
      </c>
      <c r="G489" s="2" t="s">
        <v>145</v>
      </c>
      <c r="H489" s="2" t="s">
        <v>145</v>
      </c>
      <c r="I489" s="2" t="s">
        <v>16</v>
      </c>
      <c r="J489" s="2" t="s">
        <v>1056</v>
      </c>
      <c r="K489" s="2" t="s">
        <v>1565</v>
      </c>
      <c r="L489" s="2" t="s">
        <v>1568</v>
      </c>
      <c r="M489" s="5" t="s">
        <v>1573</v>
      </c>
      <c r="N489" s="8" t="s">
        <v>1578</v>
      </c>
      <c r="O489" s="2">
        <f ca="1">DATEDIF(Addmisson[[#This Row],[Student_DOB]],TODAY(),"y")</f>
        <v>20</v>
      </c>
      <c r="P489" s="2" t="str">
        <f>TEXT(Addmisson[[#This Row],[Admission_Date]],"mmmm")</f>
        <v>May</v>
      </c>
      <c r="Q489" s="2">
        <f>YEAR(Addmisson[[#This Row],[Admission_Date]])</f>
        <v>2026</v>
      </c>
    </row>
    <row r="490" spans="1:17" x14ac:dyDescent="0.25">
      <c r="A490" s="7" t="s">
        <v>587</v>
      </c>
      <c r="B490" s="3">
        <v>46160</v>
      </c>
      <c r="C490" s="2" t="s">
        <v>1036</v>
      </c>
      <c r="D490" s="2" t="s">
        <v>1546</v>
      </c>
      <c r="E490" s="3">
        <v>39404</v>
      </c>
      <c r="F490" s="2" t="s">
        <v>127</v>
      </c>
      <c r="G490" s="2" t="s">
        <v>127</v>
      </c>
      <c r="H490" s="2" t="s">
        <v>144</v>
      </c>
      <c r="I490" s="2" t="s">
        <v>1057</v>
      </c>
      <c r="J490" s="2" t="s">
        <v>1058</v>
      </c>
      <c r="K490" s="2" t="s">
        <v>1558</v>
      </c>
      <c r="L490" s="2" t="s">
        <v>1568</v>
      </c>
      <c r="M490" s="5" t="s">
        <v>1574</v>
      </c>
      <c r="N490" s="8" t="s">
        <v>1578</v>
      </c>
      <c r="O490" s="2">
        <f ca="1">DATEDIF(Addmisson[[#This Row],[Student_DOB]],TODAY(),"y")</f>
        <v>18</v>
      </c>
      <c r="P490" s="2" t="str">
        <f>TEXT(Addmisson[[#This Row],[Admission_Date]],"mmmm")</f>
        <v>May</v>
      </c>
      <c r="Q490" s="2">
        <f>YEAR(Addmisson[[#This Row],[Admission_Date]])</f>
        <v>2026</v>
      </c>
    </row>
    <row r="491" spans="1:17" x14ac:dyDescent="0.25">
      <c r="A491" s="7" t="s">
        <v>588</v>
      </c>
      <c r="B491" s="3">
        <v>46161</v>
      </c>
      <c r="C491" s="2" t="s">
        <v>1037</v>
      </c>
      <c r="D491" s="2" t="s">
        <v>1547</v>
      </c>
      <c r="E491" s="3">
        <v>38473</v>
      </c>
      <c r="F491" s="2" t="s">
        <v>129</v>
      </c>
      <c r="G491" s="2" t="s">
        <v>129</v>
      </c>
      <c r="H491" s="2" t="s">
        <v>147</v>
      </c>
      <c r="I491" s="2" t="s">
        <v>1059</v>
      </c>
      <c r="J491" s="2" t="s">
        <v>1059</v>
      </c>
      <c r="K491" s="2" t="s">
        <v>1559</v>
      </c>
      <c r="L491" s="2" t="s">
        <v>1567</v>
      </c>
      <c r="M491" s="5" t="s">
        <v>1576</v>
      </c>
      <c r="N491" s="8" t="s">
        <v>1578</v>
      </c>
      <c r="O491" s="2">
        <f ca="1">DATEDIF(Addmisson[[#This Row],[Student_DOB]],TODAY(),"y")</f>
        <v>21</v>
      </c>
      <c r="P491" s="2" t="str">
        <f>TEXT(Addmisson[[#This Row],[Admission_Date]],"mmmm")</f>
        <v>May</v>
      </c>
      <c r="Q491" s="2">
        <f>YEAR(Addmisson[[#This Row],[Admission_Date]])</f>
        <v>2026</v>
      </c>
    </row>
    <row r="492" spans="1:17" x14ac:dyDescent="0.25">
      <c r="A492" s="7" t="s">
        <v>589</v>
      </c>
      <c r="B492" s="3">
        <v>46162</v>
      </c>
      <c r="C492" s="2" t="s">
        <v>1038</v>
      </c>
      <c r="D492" s="2" t="s">
        <v>1548</v>
      </c>
      <c r="E492" s="3">
        <v>38191</v>
      </c>
      <c r="F492" s="2" t="s">
        <v>27</v>
      </c>
      <c r="G492" s="2" t="s">
        <v>27</v>
      </c>
      <c r="H492" s="2" t="s">
        <v>131</v>
      </c>
      <c r="I492" s="2" t="s">
        <v>1060</v>
      </c>
      <c r="J492" s="2" t="s">
        <v>21</v>
      </c>
      <c r="K492" s="2" t="s">
        <v>1560</v>
      </c>
      <c r="L492" s="2" t="s">
        <v>1567</v>
      </c>
      <c r="M492" s="5" t="s">
        <v>1577</v>
      </c>
      <c r="N492" s="8" t="s">
        <v>1578</v>
      </c>
      <c r="O492" s="2">
        <f ca="1">DATEDIF(Addmisson[[#This Row],[Student_DOB]],TODAY(),"y")</f>
        <v>22</v>
      </c>
      <c r="P492" s="2" t="str">
        <f>TEXT(Addmisson[[#This Row],[Admission_Date]],"mmmm")</f>
        <v>May</v>
      </c>
      <c r="Q492" s="2">
        <f>YEAR(Addmisson[[#This Row],[Admission_Date]])</f>
        <v>2026</v>
      </c>
    </row>
    <row r="493" spans="1:17" x14ac:dyDescent="0.25">
      <c r="A493" s="7" t="s">
        <v>590</v>
      </c>
      <c r="B493" s="3">
        <v>46163</v>
      </c>
      <c r="C493" s="2" t="s">
        <v>1039</v>
      </c>
      <c r="D493" s="2" t="s">
        <v>1549</v>
      </c>
      <c r="E493" s="3">
        <v>38607</v>
      </c>
      <c r="F493" s="2" t="s">
        <v>127</v>
      </c>
      <c r="G493" s="2" t="s">
        <v>127</v>
      </c>
      <c r="H493" s="2" t="s">
        <v>146</v>
      </c>
      <c r="I493" s="2" t="s">
        <v>1047</v>
      </c>
      <c r="J493" s="2" t="s">
        <v>1048</v>
      </c>
      <c r="K493" s="2" t="s">
        <v>1561</v>
      </c>
      <c r="L493" s="2" t="s">
        <v>1568</v>
      </c>
      <c r="M493" s="5" t="s">
        <v>1570</v>
      </c>
      <c r="N493" s="8" t="s">
        <v>1578</v>
      </c>
      <c r="O493" s="2">
        <f ca="1">DATEDIF(Addmisson[[#This Row],[Student_DOB]],TODAY(),"y")</f>
        <v>21</v>
      </c>
      <c r="P493" s="2" t="str">
        <f>TEXT(Addmisson[[#This Row],[Admission_Date]],"mmmm")</f>
        <v>May</v>
      </c>
      <c r="Q493" s="2">
        <f>YEAR(Addmisson[[#This Row],[Admission_Date]])</f>
        <v>2026</v>
      </c>
    </row>
    <row r="494" spans="1:17" x14ac:dyDescent="0.25">
      <c r="A494" s="7" t="s">
        <v>591</v>
      </c>
      <c r="B494" s="3">
        <v>46164</v>
      </c>
      <c r="C494" s="2" t="s">
        <v>1040</v>
      </c>
      <c r="D494" s="2" t="s">
        <v>1550</v>
      </c>
      <c r="E494" s="3">
        <v>38783</v>
      </c>
      <c r="F494" s="2" t="s">
        <v>142</v>
      </c>
      <c r="G494" s="2" t="s">
        <v>142</v>
      </c>
      <c r="H494" s="2" t="s">
        <v>142</v>
      </c>
      <c r="I494" s="2" t="s">
        <v>1049</v>
      </c>
      <c r="J494" s="2" t="s">
        <v>1050</v>
      </c>
      <c r="K494" s="2" t="s">
        <v>1562</v>
      </c>
      <c r="L494" s="2" t="s">
        <v>1568</v>
      </c>
      <c r="M494" s="5" t="s">
        <v>1575</v>
      </c>
      <c r="N494" s="8" t="s">
        <v>1578</v>
      </c>
      <c r="O494" s="2">
        <f ca="1">DATEDIF(Addmisson[[#This Row],[Student_DOB]],TODAY(),"y")</f>
        <v>20</v>
      </c>
      <c r="P494" s="2" t="str">
        <f>TEXT(Addmisson[[#This Row],[Admission_Date]],"mmmm")</f>
        <v>May</v>
      </c>
      <c r="Q494" s="2">
        <f>YEAR(Addmisson[[#This Row],[Admission_Date]])</f>
        <v>2026</v>
      </c>
    </row>
    <row r="495" spans="1:17" x14ac:dyDescent="0.25">
      <c r="A495" s="7" t="s">
        <v>592</v>
      </c>
      <c r="B495" s="3">
        <v>46165</v>
      </c>
      <c r="C495" s="2" t="s">
        <v>1041</v>
      </c>
      <c r="D495" s="2" t="s">
        <v>1551</v>
      </c>
      <c r="E495" s="3">
        <v>38651</v>
      </c>
      <c r="F495" s="2" t="s">
        <v>129</v>
      </c>
      <c r="G495" s="2" t="s">
        <v>129</v>
      </c>
      <c r="H495" s="2" t="s">
        <v>130</v>
      </c>
      <c r="I495" s="2" t="s">
        <v>1051</v>
      </c>
      <c r="J495" s="2" t="s">
        <v>1052</v>
      </c>
      <c r="K495" s="2" t="s">
        <v>1563</v>
      </c>
      <c r="L495" s="2" t="s">
        <v>1567</v>
      </c>
      <c r="M495" s="5" t="s">
        <v>1571</v>
      </c>
      <c r="N495" s="8" t="s">
        <v>1578</v>
      </c>
      <c r="O495" s="2">
        <f ca="1">DATEDIF(Addmisson[[#This Row],[Student_DOB]],TODAY(),"y")</f>
        <v>20</v>
      </c>
      <c r="P495" s="2" t="str">
        <f>TEXT(Addmisson[[#This Row],[Admission_Date]],"mmmm")</f>
        <v>May</v>
      </c>
      <c r="Q495" s="2">
        <f>YEAR(Addmisson[[#This Row],[Admission_Date]])</f>
        <v>2026</v>
      </c>
    </row>
    <row r="496" spans="1:17" x14ac:dyDescent="0.25">
      <c r="A496" s="7" t="s">
        <v>593</v>
      </c>
      <c r="B496" s="3">
        <v>46166</v>
      </c>
      <c r="C496" s="2" t="s">
        <v>1042</v>
      </c>
      <c r="D496" s="2" t="s">
        <v>1552</v>
      </c>
      <c r="E496" s="3">
        <v>39980</v>
      </c>
      <c r="F496" s="2" t="s">
        <v>127</v>
      </c>
      <c r="G496" s="2" t="s">
        <v>127</v>
      </c>
      <c r="H496" s="2" t="s">
        <v>128</v>
      </c>
      <c r="I496" s="2" t="s">
        <v>1053</v>
      </c>
      <c r="J496" s="2" t="s">
        <v>1052</v>
      </c>
      <c r="K496" s="2" t="s">
        <v>1564</v>
      </c>
      <c r="L496" s="2" t="s">
        <v>1567</v>
      </c>
      <c r="M496" s="5" t="s">
        <v>1572</v>
      </c>
      <c r="N496" s="8" t="s">
        <v>1578</v>
      </c>
      <c r="O496" s="2">
        <f ca="1">DATEDIF(Addmisson[[#This Row],[Student_DOB]],TODAY(),"y")</f>
        <v>17</v>
      </c>
      <c r="P496" s="2" t="str">
        <f>TEXT(Addmisson[[#This Row],[Admission_Date]],"mmmm")</f>
        <v>May</v>
      </c>
      <c r="Q496" s="2">
        <f>YEAR(Addmisson[[#This Row],[Admission_Date]])</f>
        <v>2026</v>
      </c>
    </row>
    <row r="497" spans="1:17" x14ac:dyDescent="0.25">
      <c r="A497" s="7" t="s">
        <v>594</v>
      </c>
      <c r="B497" s="3">
        <v>46167</v>
      </c>
      <c r="C497" s="2" t="s">
        <v>1043</v>
      </c>
      <c r="D497" s="2" t="s">
        <v>1553</v>
      </c>
      <c r="E497" s="3">
        <v>38357</v>
      </c>
      <c r="F497" s="2" t="s">
        <v>148</v>
      </c>
      <c r="G497" s="2" t="s">
        <v>148</v>
      </c>
      <c r="H497" s="2" t="s">
        <v>148</v>
      </c>
      <c r="I497" s="2" t="s">
        <v>1054</v>
      </c>
      <c r="J497" s="2" t="s">
        <v>1052</v>
      </c>
      <c r="K497" s="2" t="s">
        <v>1565</v>
      </c>
      <c r="L497" s="2" t="s">
        <v>1567</v>
      </c>
      <c r="M497" s="5" t="s">
        <v>1573</v>
      </c>
      <c r="N497" s="8" t="s">
        <v>1578</v>
      </c>
      <c r="O497" s="2">
        <f ca="1">DATEDIF(Addmisson[[#This Row],[Student_DOB]],TODAY(),"y")</f>
        <v>21</v>
      </c>
      <c r="P497" s="2" t="str">
        <f>TEXT(Addmisson[[#This Row],[Admission_Date]],"mmmm")</f>
        <v>May</v>
      </c>
      <c r="Q497" s="2">
        <f>YEAR(Addmisson[[#This Row],[Admission_Date]])</f>
        <v>2026</v>
      </c>
    </row>
    <row r="498" spans="1:17" x14ac:dyDescent="0.25">
      <c r="A498" s="7" t="s">
        <v>595</v>
      </c>
      <c r="B498" s="3">
        <v>46168</v>
      </c>
      <c r="C498" s="2" t="s">
        <v>1044</v>
      </c>
      <c r="D498" s="2" t="s">
        <v>1554</v>
      </c>
      <c r="E498" s="3">
        <v>37375</v>
      </c>
      <c r="F498" s="2" t="s">
        <v>14</v>
      </c>
      <c r="G498" s="2" t="s">
        <v>14</v>
      </c>
      <c r="H498" s="2" t="s">
        <v>132</v>
      </c>
      <c r="I498" s="2" t="s">
        <v>1055</v>
      </c>
      <c r="J498" s="2" t="s">
        <v>1055</v>
      </c>
      <c r="K498" s="2" t="s">
        <v>1558</v>
      </c>
      <c r="L498" s="2" t="s">
        <v>1567</v>
      </c>
      <c r="M498" s="5" t="s">
        <v>1574</v>
      </c>
      <c r="N498" s="8" t="s">
        <v>1578</v>
      </c>
      <c r="O498" s="2">
        <f ca="1">DATEDIF(Addmisson[[#This Row],[Student_DOB]],TODAY(),"y")</f>
        <v>24</v>
      </c>
      <c r="P498" s="2" t="str">
        <f>TEXT(Addmisson[[#This Row],[Admission_Date]],"mmmm")</f>
        <v>May</v>
      </c>
      <c r="Q498" s="2">
        <f>YEAR(Addmisson[[#This Row],[Admission_Date]])</f>
        <v>2026</v>
      </c>
    </row>
    <row r="499" spans="1:17" x14ac:dyDescent="0.25">
      <c r="A499" s="7" t="s">
        <v>596</v>
      </c>
      <c r="B499" s="3">
        <v>46169</v>
      </c>
      <c r="C499" s="2" t="s">
        <v>1045</v>
      </c>
      <c r="D499" s="2" t="s">
        <v>1555</v>
      </c>
      <c r="E499" s="3">
        <v>38578</v>
      </c>
      <c r="F499" s="2" t="s">
        <v>127</v>
      </c>
      <c r="G499" s="2" t="s">
        <v>127</v>
      </c>
      <c r="H499" s="2" t="s">
        <v>133</v>
      </c>
      <c r="I499" s="2" t="s">
        <v>16</v>
      </c>
      <c r="J499" s="2" t="s">
        <v>1056</v>
      </c>
      <c r="K499" s="2" t="s">
        <v>1559</v>
      </c>
      <c r="L499" s="2" t="s">
        <v>1567</v>
      </c>
      <c r="M499" s="5" t="s">
        <v>1576</v>
      </c>
      <c r="N499" s="8" t="s">
        <v>1578</v>
      </c>
      <c r="O499" s="2">
        <f ca="1">DATEDIF(Addmisson[[#This Row],[Student_DOB]],TODAY(),"y")</f>
        <v>21</v>
      </c>
      <c r="P499" s="2" t="str">
        <f>TEXT(Addmisson[[#This Row],[Admission_Date]],"mmmm")</f>
        <v>May</v>
      </c>
      <c r="Q499" s="2">
        <f>YEAR(Addmisson[[#This Row],[Admission_Date]])</f>
        <v>2026</v>
      </c>
    </row>
    <row r="500" spans="1:17" x14ac:dyDescent="0.25">
      <c r="A500" s="7" t="s">
        <v>597</v>
      </c>
      <c r="B500" s="3">
        <v>46170</v>
      </c>
      <c r="C500" s="2" t="s">
        <v>1046</v>
      </c>
      <c r="D500" s="2" t="s">
        <v>1556</v>
      </c>
      <c r="E500" s="3">
        <v>39053</v>
      </c>
      <c r="F500" s="2" t="s">
        <v>138</v>
      </c>
      <c r="G500" s="2" t="s">
        <v>138</v>
      </c>
      <c r="H500" s="2" t="s">
        <v>138</v>
      </c>
      <c r="I500" s="2" t="s">
        <v>1057</v>
      </c>
      <c r="J500" s="2" t="s">
        <v>1058</v>
      </c>
      <c r="K500" s="2" t="s">
        <v>1560</v>
      </c>
      <c r="L500" s="2" t="s">
        <v>1567</v>
      </c>
      <c r="M500" s="5" t="s">
        <v>1577</v>
      </c>
      <c r="N500" s="8" t="s">
        <v>1578</v>
      </c>
      <c r="O500" s="2">
        <f ca="1">DATEDIF(Addmisson[[#This Row],[Student_DOB]],TODAY(),"y")</f>
        <v>19</v>
      </c>
      <c r="P500" s="2" t="str">
        <f>TEXT(Addmisson[[#This Row],[Admission_Date]],"mmmm")</f>
        <v>May</v>
      </c>
      <c r="Q500" s="2">
        <f>YEAR(Addmisson[[#This Row],[Admission_Date]])</f>
        <v>2026</v>
      </c>
    </row>
    <row r="501" spans="1:17" x14ac:dyDescent="0.25">
      <c r="A501" s="14" t="s">
        <v>1579</v>
      </c>
      <c r="B501" s="15">
        <v>46171</v>
      </c>
      <c r="C501" s="16" t="s">
        <v>1580</v>
      </c>
      <c r="D501" s="17" t="s">
        <v>1581</v>
      </c>
      <c r="E501" s="15">
        <v>39028</v>
      </c>
      <c r="F501" s="17" t="s">
        <v>14</v>
      </c>
      <c r="G501" s="17" t="s">
        <v>14</v>
      </c>
      <c r="H501" s="17" t="s">
        <v>15</v>
      </c>
      <c r="I501" s="17" t="s">
        <v>1057</v>
      </c>
      <c r="J501" s="17" t="s">
        <v>1058</v>
      </c>
      <c r="K501" s="17" t="s">
        <v>1564</v>
      </c>
      <c r="L501" s="17" t="s">
        <v>1567</v>
      </c>
      <c r="M501" s="18" t="s">
        <v>1575</v>
      </c>
      <c r="N501" s="19" t="s">
        <v>1578</v>
      </c>
      <c r="O501" s="16">
        <f ca="1">DATEDIF(Addmisson[[#This Row],[Student_DOB]],TODAY(),"y")</f>
        <v>19</v>
      </c>
      <c r="P501" s="2" t="str">
        <f>TEXT(Addmisson[[#This Row],[Admission_Date]],"mmmm")</f>
        <v>May</v>
      </c>
      <c r="Q501" s="2">
        <f>YEAR(Addmisson[[#This Row],[Admission_Date]])</f>
        <v>2026</v>
      </c>
    </row>
    <row r="502" spans="1:17" x14ac:dyDescent="0.25">
      <c r="A502" s="14" t="s">
        <v>1592</v>
      </c>
      <c r="B502" s="15">
        <v>46172</v>
      </c>
      <c r="C502" s="16" t="s">
        <v>1747</v>
      </c>
      <c r="D502" s="2" t="s">
        <v>1541</v>
      </c>
      <c r="E502" s="3">
        <v>39308</v>
      </c>
      <c r="F502" s="2" t="s">
        <v>32</v>
      </c>
      <c r="G502" s="2" t="s">
        <v>32</v>
      </c>
      <c r="H502" s="2" t="s">
        <v>32</v>
      </c>
      <c r="I502" s="2" t="s">
        <v>1051</v>
      </c>
      <c r="J502" s="2" t="s">
        <v>1052</v>
      </c>
      <c r="K502" s="2" t="s">
        <v>1558</v>
      </c>
      <c r="L502" s="17" t="s">
        <v>1567</v>
      </c>
      <c r="M502" s="5" t="s">
        <v>1570</v>
      </c>
      <c r="N502" s="19" t="s">
        <v>1578</v>
      </c>
      <c r="O502" s="20">
        <f ca="1">DATEDIF(Addmisson[[#This Row],[Student_DOB]],TODAY(),"y")</f>
        <v>19</v>
      </c>
      <c r="P502" s="20" t="str">
        <f>TEXT(Addmisson[[#This Row],[Admission_Date]],"mmmm")</f>
        <v>May</v>
      </c>
      <c r="Q502" s="20">
        <f>YEAR(Addmisson[[#This Row],[Admission_Date]])</f>
        <v>2026</v>
      </c>
    </row>
    <row r="503" spans="1:17" x14ac:dyDescent="0.25">
      <c r="A503" s="14" t="s">
        <v>1593</v>
      </c>
      <c r="B503" s="15">
        <v>46173</v>
      </c>
      <c r="C503" s="16" t="s">
        <v>1748</v>
      </c>
      <c r="D503" s="2" t="s">
        <v>1542</v>
      </c>
      <c r="E503" s="3">
        <v>40149</v>
      </c>
      <c r="F503" s="2" t="s">
        <v>129</v>
      </c>
      <c r="G503" s="2" t="s">
        <v>129</v>
      </c>
      <c r="H503" s="2" t="s">
        <v>130</v>
      </c>
      <c r="I503" s="2" t="s">
        <v>1053</v>
      </c>
      <c r="J503" s="2" t="s">
        <v>1052</v>
      </c>
      <c r="K503" s="2" t="s">
        <v>1559</v>
      </c>
      <c r="L503" s="17" t="s">
        <v>1567</v>
      </c>
      <c r="M503" s="5" t="s">
        <v>1575</v>
      </c>
      <c r="N503" s="19" t="s">
        <v>1578</v>
      </c>
      <c r="O503" s="20">
        <f ca="1">DATEDIF(Addmisson[[#This Row],[Student_DOB]],TODAY(),"y")</f>
        <v>16</v>
      </c>
      <c r="P503" s="20" t="str">
        <f>TEXT(Addmisson[[#This Row],[Admission_Date]],"mmmm")</f>
        <v>May</v>
      </c>
      <c r="Q503" s="20">
        <f>YEAR(Addmisson[[#This Row],[Admission_Date]])</f>
        <v>2026</v>
      </c>
    </row>
    <row r="504" spans="1:17" x14ac:dyDescent="0.25">
      <c r="A504" s="14" t="s">
        <v>1594</v>
      </c>
      <c r="B504" s="15">
        <v>46174</v>
      </c>
      <c r="C504" s="16" t="s">
        <v>1749</v>
      </c>
      <c r="D504" s="2" t="s">
        <v>1543</v>
      </c>
      <c r="E504" s="15">
        <v>39759</v>
      </c>
      <c r="F504" s="2" t="s">
        <v>27</v>
      </c>
      <c r="G504" s="2" t="s">
        <v>27</v>
      </c>
      <c r="H504" s="2" t="s">
        <v>131</v>
      </c>
      <c r="I504" s="2" t="s">
        <v>1054</v>
      </c>
      <c r="J504" s="2" t="s">
        <v>1052</v>
      </c>
      <c r="K504" s="2" t="s">
        <v>1560</v>
      </c>
      <c r="L504" s="17" t="s">
        <v>1567</v>
      </c>
      <c r="M504" s="5" t="s">
        <v>1571</v>
      </c>
      <c r="N504" s="19" t="s">
        <v>1578</v>
      </c>
      <c r="O504" s="20">
        <f ca="1">DATEDIF(Addmisson[[#This Row],[Student_DOB]],TODAY(),"y")</f>
        <v>17</v>
      </c>
      <c r="P504" s="20" t="str">
        <f>TEXT(Addmisson[[#This Row],[Admission_Date]],"mmmm")</f>
        <v>June</v>
      </c>
      <c r="Q504" s="20">
        <f>YEAR(Addmisson[[#This Row],[Admission_Date]])</f>
        <v>2026</v>
      </c>
    </row>
    <row r="505" spans="1:17" x14ac:dyDescent="0.25">
      <c r="A505" s="14" t="s">
        <v>1595</v>
      </c>
      <c r="B505" s="15">
        <v>46175</v>
      </c>
      <c r="C505" s="16" t="s">
        <v>1750</v>
      </c>
      <c r="D505" s="2" t="s">
        <v>1544</v>
      </c>
      <c r="E505" s="3">
        <v>38578</v>
      </c>
      <c r="F505" s="2" t="s">
        <v>148</v>
      </c>
      <c r="G505" s="2" t="s">
        <v>148</v>
      </c>
      <c r="H505" s="2" t="s">
        <v>148</v>
      </c>
      <c r="I505" s="2" t="s">
        <v>1055</v>
      </c>
      <c r="J505" s="2" t="s">
        <v>1055</v>
      </c>
      <c r="K505" s="17" t="s">
        <v>1564</v>
      </c>
      <c r="L505" s="17" t="s">
        <v>1567</v>
      </c>
      <c r="M505" s="5" t="s">
        <v>1572</v>
      </c>
      <c r="N505" s="19" t="s">
        <v>1578</v>
      </c>
      <c r="O505" s="20">
        <f ca="1">DATEDIF(Addmisson[[#This Row],[Student_DOB]],TODAY(),"y")</f>
        <v>21</v>
      </c>
      <c r="P505" s="20" t="str">
        <f>TEXT(Addmisson[[#This Row],[Admission_Date]],"mmmm")</f>
        <v>June</v>
      </c>
      <c r="Q505" s="20">
        <f>YEAR(Addmisson[[#This Row],[Admission_Date]])</f>
        <v>2026</v>
      </c>
    </row>
    <row r="506" spans="1:17" x14ac:dyDescent="0.25">
      <c r="A506" s="14" t="s">
        <v>1596</v>
      </c>
      <c r="B506" s="15">
        <v>46176</v>
      </c>
      <c r="C506" s="16" t="s">
        <v>1751</v>
      </c>
      <c r="D506" s="2" t="s">
        <v>1545</v>
      </c>
      <c r="E506" s="3">
        <v>39053</v>
      </c>
      <c r="F506" s="2" t="s">
        <v>14</v>
      </c>
      <c r="G506" s="2" t="s">
        <v>14</v>
      </c>
      <c r="H506" s="2" t="s">
        <v>132</v>
      </c>
      <c r="I506" s="2" t="s">
        <v>16</v>
      </c>
      <c r="J506" s="2" t="s">
        <v>1056</v>
      </c>
      <c r="K506" s="2" t="s">
        <v>1558</v>
      </c>
      <c r="L506" s="17" t="s">
        <v>1567</v>
      </c>
      <c r="M506" s="5" t="s">
        <v>1573</v>
      </c>
      <c r="N506" s="19" t="s">
        <v>1578</v>
      </c>
      <c r="O506" s="20">
        <f ca="1">DATEDIF(Addmisson[[#This Row],[Student_DOB]],TODAY(),"y")</f>
        <v>19</v>
      </c>
      <c r="P506" s="20" t="str">
        <f>TEXT(Addmisson[[#This Row],[Admission_Date]],"mmmm")</f>
        <v>June</v>
      </c>
      <c r="Q506" s="20">
        <f>YEAR(Addmisson[[#This Row],[Admission_Date]])</f>
        <v>2026</v>
      </c>
    </row>
    <row r="507" spans="1:17" x14ac:dyDescent="0.25">
      <c r="A507" s="14" t="s">
        <v>1597</v>
      </c>
      <c r="B507" s="15">
        <v>46177</v>
      </c>
      <c r="C507" s="16" t="s">
        <v>1752</v>
      </c>
      <c r="D507" s="2" t="s">
        <v>1546</v>
      </c>
      <c r="E507" s="15">
        <v>39028</v>
      </c>
      <c r="F507" s="2" t="s">
        <v>127</v>
      </c>
      <c r="G507" s="2" t="s">
        <v>127</v>
      </c>
      <c r="H507" s="2" t="s">
        <v>133</v>
      </c>
      <c r="I507" s="2" t="s">
        <v>1057</v>
      </c>
      <c r="J507" s="2" t="s">
        <v>1058</v>
      </c>
      <c r="K507" s="2" t="s">
        <v>1559</v>
      </c>
      <c r="L507" s="17" t="s">
        <v>1567</v>
      </c>
      <c r="M507" s="5" t="s">
        <v>1574</v>
      </c>
      <c r="N507" s="19" t="s">
        <v>1578</v>
      </c>
      <c r="O507" s="20">
        <f ca="1">DATEDIF(Addmisson[[#This Row],[Student_DOB]],TODAY(),"y")</f>
        <v>19</v>
      </c>
      <c r="P507" s="20" t="str">
        <f>TEXT(Addmisson[[#This Row],[Admission_Date]],"mmmm")</f>
        <v>June</v>
      </c>
      <c r="Q507" s="20">
        <f>YEAR(Addmisson[[#This Row],[Admission_Date]])</f>
        <v>2026</v>
      </c>
    </row>
    <row r="508" spans="1:17" x14ac:dyDescent="0.25">
      <c r="A508" s="14" t="s">
        <v>1598</v>
      </c>
      <c r="B508" s="15">
        <v>46178</v>
      </c>
      <c r="C508" s="16" t="s">
        <v>1753</v>
      </c>
      <c r="D508" s="2" t="s">
        <v>1547</v>
      </c>
      <c r="E508" s="3">
        <v>39674</v>
      </c>
      <c r="F508" s="2" t="s">
        <v>138</v>
      </c>
      <c r="G508" s="2" t="s">
        <v>138</v>
      </c>
      <c r="H508" s="2" t="s">
        <v>138</v>
      </c>
      <c r="I508" s="17" t="s">
        <v>1057</v>
      </c>
      <c r="J508" s="17" t="s">
        <v>1058</v>
      </c>
      <c r="K508" s="2" t="s">
        <v>1560</v>
      </c>
      <c r="L508" s="17" t="s">
        <v>1567</v>
      </c>
      <c r="M508" s="5" t="s">
        <v>1576</v>
      </c>
      <c r="N508" s="19" t="s">
        <v>1578</v>
      </c>
      <c r="O508" s="20">
        <f ca="1">DATEDIF(Addmisson[[#This Row],[Student_DOB]],TODAY(),"y")</f>
        <v>18</v>
      </c>
      <c r="P508" s="20" t="str">
        <f>TEXT(Addmisson[[#This Row],[Admission_Date]],"mmmm")</f>
        <v>June</v>
      </c>
      <c r="Q508" s="20">
        <f>YEAR(Addmisson[[#This Row],[Admission_Date]])</f>
        <v>2026</v>
      </c>
    </row>
    <row r="509" spans="1:17" x14ac:dyDescent="0.25">
      <c r="A509" s="14" t="s">
        <v>1599</v>
      </c>
      <c r="B509" s="15">
        <v>46179</v>
      </c>
      <c r="C509" s="16" t="s">
        <v>1754</v>
      </c>
      <c r="D509" s="2" t="s">
        <v>1548</v>
      </c>
      <c r="E509" s="3">
        <v>39053</v>
      </c>
      <c r="F509" s="17" t="s">
        <v>14</v>
      </c>
      <c r="G509" s="17" t="s">
        <v>14</v>
      </c>
      <c r="H509" s="17" t="s">
        <v>15</v>
      </c>
      <c r="I509" s="2" t="s">
        <v>1051</v>
      </c>
      <c r="J509" s="2" t="s">
        <v>1052</v>
      </c>
      <c r="K509" s="17" t="s">
        <v>1564</v>
      </c>
      <c r="L509" s="17" t="s">
        <v>1567</v>
      </c>
      <c r="M509" s="5" t="s">
        <v>1577</v>
      </c>
      <c r="N509" s="19" t="s">
        <v>1578</v>
      </c>
      <c r="O509" s="20">
        <f ca="1">DATEDIF(Addmisson[[#This Row],[Student_DOB]],TODAY(),"y")</f>
        <v>19</v>
      </c>
      <c r="P509" s="20" t="str">
        <f>TEXT(Addmisson[[#This Row],[Admission_Date]],"mmmm")</f>
        <v>June</v>
      </c>
      <c r="Q509" s="20">
        <f>YEAR(Addmisson[[#This Row],[Admission_Date]])</f>
        <v>2026</v>
      </c>
    </row>
    <row r="510" spans="1:17" x14ac:dyDescent="0.25">
      <c r="A510" s="14" t="s">
        <v>1600</v>
      </c>
      <c r="B510" s="15">
        <v>46180</v>
      </c>
      <c r="C510" s="16" t="s">
        <v>1755</v>
      </c>
      <c r="D510" s="2" t="s">
        <v>1549</v>
      </c>
      <c r="E510" s="15">
        <v>39028</v>
      </c>
      <c r="F510" s="2" t="s">
        <v>32</v>
      </c>
      <c r="G510" s="2" t="s">
        <v>32</v>
      </c>
      <c r="H510" s="2" t="s">
        <v>32</v>
      </c>
      <c r="I510" s="2" t="s">
        <v>1053</v>
      </c>
      <c r="J510" s="2" t="s">
        <v>1052</v>
      </c>
      <c r="K510" s="2" t="s">
        <v>1558</v>
      </c>
      <c r="L510" s="17" t="s">
        <v>1567</v>
      </c>
      <c r="M510" s="18" t="s">
        <v>1575</v>
      </c>
      <c r="N510" s="19" t="s">
        <v>1578</v>
      </c>
      <c r="O510" s="20">
        <f ca="1">DATEDIF(Addmisson[[#This Row],[Student_DOB]],TODAY(),"y")</f>
        <v>19</v>
      </c>
      <c r="P510" s="20" t="str">
        <f>TEXT(Addmisson[[#This Row],[Admission_Date]],"mmmm")</f>
        <v>June</v>
      </c>
      <c r="Q510" s="20">
        <f>YEAR(Addmisson[[#This Row],[Admission_Date]])</f>
        <v>2026</v>
      </c>
    </row>
    <row r="511" spans="1:17" x14ac:dyDescent="0.25">
      <c r="A511" s="14" t="s">
        <v>1601</v>
      </c>
      <c r="B511" s="15">
        <v>46181</v>
      </c>
      <c r="C511" s="16" t="s">
        <v>1756</v>
      </c>
      <c r="D511" s="2" t="s">
        <v>1550</v>
      </c>
      <c r="E511" s="3">
        <v>38578</v>
      </c>
      <c r="F511" s="2" t="s">
        <v>129</v>
      </c>
      <c r="G511" s="2" t="s">
        <v>129</v>
      </c>
      <c r="H511" s="2" t="s">
        <v>130</v>
      </c>
      <c r="I511" s="2" t="s">
        <v>1054</v>
      </c>
      <c r="J511" s="2" t="s">
        <v>1052</v>
      </c>
      <c r="K511" s="2" t="s">
        <v>1559</v>
      </c>
      <c r="L511" s="17" t="s">
        <v>1567</v>
      </c>
      <c r="M511" s="5" t="s">
        <v>1570</v>
      </c>
      <c r="N511" s="19" t="s">
        <v>1578</v>
      </c>
      <c r="O511" s="20">
        <f ca="1">DATEDIF(Addmisson[[#This Row],[Student_DOB]],TODAY(),"y")</f>
        <v>21</v>
      </c>
      <c r="P511" s="20" t="str">
        <f>TEXT(Addmisson[[#This Row],[Admission_Date]],"mmmm")</f>
        <v>June</v>
      </c>
      <c r="Q511" s="20">
        <f>YEAR(Addmisson[[#This Row],[Admission_Date]])</f>
        <v>2026</v>
      </c>
    </row>
    <row r="512" spans="1:17" x14ac:dyDescent="0.25">
      <c r="A512" s="14" t="s">
        <v>1602</v>
      </c>
      <c r="B512" s="15">
        <v>46182</v>
      </c>
      <c r="C512" s="16" t="s">
        <v>1757</v>
      </c>
      <c r="D512" s="2" t="s">
        <v>1551</v>
      </c>
      <c r="E512" s="3">
        <v>39418</v>
      </c>
      <c r="F512" s="2" t="s">
        <v>27</v>
      </c>
      <c r="G512" s="2" t="s">
        <v>27</v>
      </c>
      <c r="H512" s="2" t="s">
        <v>131</v>
      </c>
      <c r="I512" s="2" t="s">
        <v>1055</v>
      </c>
      <c r="J512" s="2" t="s">
        <v>1055</v>
      </c>
      <c r="K512" s="2" t="s">
        <v>1560</v>
      </c>
      <c r="L512" s="17" t="s">
        <v>1567</v>
      </c>
      <c r="M512" s="5" t="s">
        <v>1575</v>
      </c>
      <c r="N512" s="19" t="s">
        <v>1578</v>
      </c>
      <c r="O512" s="20">
        <f ca="1">DATEDIF(Addmisson[[#This Row],[Student_DOB]],TODAY(),"y")</f>
        <v>18</v>
      </c>
      <c r="P512" s="20" t="str">
        <f>TEXT(Addmisson[[#This Row],[Admission_Date]],"mmmm")</f>
        <v>June</v>
      </c>
      <c r="Q512" s="20">
        <f>YEAR(Addmisson[[#This Row],[Admission_Date]])</f>
        <v>2026</v>
      </c>
    </row>
    <row r="513" spans="1:17" x14ac:dyDescent="0.25">
      <c r="A513" s="14" t="s">
        <v>1603</v>
      </c>
      <c r="B513" s="15">
        <v>46183</v>
      </c>
      <c r="C513" s="16" t="s">
        <v>1758</v>
      </c>
      <c r="D513" s="2" t="s">
        <v>1552</v>
      </c>
      <c r="E513" s="15">
        <v>39028</v>
      </c>
      <c r="F513" s="2" t="s">
        <v>148</v>
      </c>
      <c r="G513" s="2" t="s">
        <v>148</v>
      </c>
      <c r="H513" s="2" t="s">
        <v>148</v>
      </c>
      <c r="I513" s="2" t="s">
        <v>16</v>
      </c>
      <c r="J513" s="2" t="s">
        <v>1056</v>
      </c>
      <c r="K513" s="17" t="s">
        <v>1564</v>
      </c>
      <c r="L513" s="17" t="s">
        <v>1567</v>
      </c>
      <c r="M513" s="5" t="s">
        <v>1571</v>
      </c>
      <c r="N513" s="19" t="s">
        <v>1578</v>
      </c>
      <c r="O513" s="20">
        <f ca="1">DATEDIF(Addmisson[[#This Row],[Student_DOB]],TODAY(),"y")</f>
        <v>19</v>
      </c>
      <c r="P513" s="20" t="str">
        <f>TEXT(Addmisson[[#This Row],[Admission_Date]],"mmmm")</f>
        <v>June</v>
      </c>
      <c r="Q513" s="20">
        <f>YEAR(Addmisson[[#This Row],[Admission_Date]])</f>
        <v>2026</v>
      </c>
    </row>
    <row r="514" spans="1:17" x14ac:dyDescent="0.25">
      <c r="A514" s="14" t="s">
        <v>1604</v>
      </c>
      <c r="B514" s="15">
        <v>46184</v>
      </c>
      <c r="C514" s="16" t="s">
        <v>1759</v>
      </c>
      <c r="D514" s="2" t="s">
        <v>1553</v>
      </c>
      <c r="E514" s="3">
        <v>38578</v>
      </c>
      <c r="F514" s="2" t="s">
        <v>14</v>
      </c>
      <c r="G514" s="2" t="s">
        <v>14</v>
      </c>
      <c r="H514" s="2" t="s">
        <v>132</v>
      </c>
      <c r="I514" s="2" t="s">
        <v>1057</v>
      </c>
      <c r="J514" s="2" t="s">
        <v>1058</v>
      </c>
      <c r="K514" s="2" t="s">
        <v>1558</v>
      </c>
      <c r="L514" s="17" t="s">
        <v>1567</v>
      </c>
      <c r="M514" s="5" t="s">
        <v>1572</v>
      </c>
      <c r="N514" s="19" t="s">
        <v>1578</v>
      </c>
      <c r="O514" s="20">
        <f ca="1">DATEDIF(Addmisson[[#This Row],[Student_DOB]],TODAY(),"y")</f>
        <v>21</v>
      </c>
      <c r="P514" s="20" t="str">
        <f>TEXT(Addmisson[[#This Row],[Admission_Date]],"mmmm")</f>
        <v>June</v>
      </c>
      <c r="Q514" s="20">
        <f>YEAR(Addmisson[[#This Row],[Admission_Date]])</f>
        <v>2026</v>
      </c>
    </row>
    <row r="515" spans="1:17" x14ac:dyDescent="0.25">
      <c r="A515" s="14" t="s">
        <v>1605</v>
      </c>
      <c r="B515" s="15">
        <v>46185</v>
      </c>
      <c r="C515" s="16" t="s">
        <v>1760</v>
      </c>
      <c r="D515" s="2" t="s">
        <v>1554</v>
      </c>
      <c r="E515" s="3">
        <v>39053</v>
      </c>
      <c r="F515" s="2" t="s">
        <v>127</v>
      </c>
      <c r="G515" s="2" t="s">
        <v>127</v>
      </c>
      <c r="H515" s="2" t="s">
        <v>133</v>
      </c>
      <c r="I515" s="17" t="s">
        <v>1057</v>
      </c>
      <c r="J515" s="17" t="s">
        <v>1058</v>
      </c>
      <c r="K515" s="2" t="s">
        <v>1559</v>
      </c>
      <c r="L515" s="17" t="s">
        <v>1567</v>
      </c>
      <c r="M515" s="5" t="s">
        <v>1573</v>
      </c>
      <c r="N515" s="19" t="s">
        <v>1578</v>
      </c>
      <c r="O515" s="20">
        <f ca="1">DATEDIF(Addmisson[[#This Row],[Student_DOB]],TODAY(),"y")</f>
        <v>19</v>
      </c>
      <c r="P515" s="20" t="str">
        <f>TEXT(Addmisson[[#This Row],[Admission_Date]],"mmmm")</f>
        <v>June</v>
      </c>
      <c r="Q515" s="20">
        <f>YEAR(Addmisson[[#This Row],[Admission_Date]])</f>
        <v>2026</v>
      </c>
    </row>
    <row r="516" spans="1:17" x14ac:dyDescent="0.25">
      <c r="A516" s="14" t="s">
        <v>1606</v>
      </c>
      <c r="B516" s="15">
        <v>46186</v>
      </c>
      <c r="C516" s="16" t="s">
        <v>1761</v>
      </c>
      <c r="D516" s="2" t="s">
        <v>1555</v>
      </c>
      <c r="E516" s="15">
        <v>39028</v>
      </c>
      <c r="F516" s="2" t="s">
        <v>138</v>
      </c>
      <c r="G516" s="2" t="s">
        <v>138</v>
      </c>
      <c r="H516" s="2" t="s">
        <v>138</v>
      </c>
      <c r="I516" s="2" t="s">
        <v>1051</v>
      </c>
      <c r="J516" s="2" t="s">
        <v>1052</v>
      </c>
      <c r="K516" s="2" t="s">
        <v>1560</v>
      </c>
      <c r="L516" s="17" t="s">
        <v>1567</v>
      </c>
      <c r="M516" s="5" t="s">
        <v>1574</v>
      </c>
      <c r="N516" s="19" t="s">
        <v>1578</v>
      </c>
      <c r="O516" s="20">
        <f ca="1">DATEDIF(Addmisson[[#This Row],[Student_DOB]],TODAY(),"y")</f>
        <v>19</v>
      </c>
      <c r="P516" s="20" t="str">
        <f>TEXT(Addmisson[[#This Row],[Admission_Date]],"mmmm")</f>
        <v>June</v>
      </c>
      <c r="Q516" s="20">
        <f>YEAR(Addmisson[[#This Row],[Admission_Date]])</f>
        <v>2026</v>
      </c>
    </row>
    <row r="517" spans="1:17" x14ac:dyDescent="0.25">
      <c r="A517" s="14" t="s">
        <v>1607</v>
      </c>
      <c r="B517" s="15">
        <v>46187</v>
      </c>
      <c r="C517" s="16" t="s">
        <v>1762</v>
      </c>
      <c r="D517" s="2" t="s">
        <v>1556</v>
      </c>
      <c r="E517" s="3">
        <v>39308</v>
      </c>
      <c r="F517" s="17" t="s">
        <v>14</v>
      </c>
      <c r="G517" s="17" t="s">
        <v>14</v>
      </c>
      <c r="H517" s="17" t="s">
        <v>15</v>
      </c>
      <c r="I517" s="2" t="s">
        <v>1053</v>
      </c>
      <c r="J517" s="2" t="s">
        <v>1052</v>
      </c>
      <c r="K517" s="17" t="s">
        <v>1564</v>
      </c>
      <c r="L517" s="17" t="s">
        <v>1567</v>
      </c>
      <c r="M517" s="5" t="s">
        <v>1576</v>
      </c>
      <c r="N517" s="19" t="s">
        <v>1578</v>
      </c>
      <c r="O517" s="20">
        <f ca="1">DATEDIF(Addmisson[[#This Row],[Student_DOB]],TODAY(),"y")</f>
        <v>19</v>
      </c>
      <c r="P517" s="20" t="str">
        <f>TEXT(Addmisson[[#This Row],[Admission_Date]],"mmmm")</f>
        <v>June</v>
      </c>
      <c r="Q517" s="20">
        <f>YEAR(Addmisson[[#This Row],[Admission_Date]])</f>
        <v>2026</v>
      </c>
    </row>
    <row r="518" spans="1:17" x14ac:dyDescent="0.25">
      <c r="A518" s="14" t="s">
        <v>1608</v>
      </c>
      <c r="B518" s="15">
        <v>46188</v>
      </c>
      <c r="C518" s="16" t="s">
        <v>1763</v>
      </c>
      <c r="D518" s="17" t="s">
        <v>1581</v>
      </c>
      <c r="E518" s="3">
        <v>39499</v>
      </c>
      <c r="F518" s="2" t="s">
        <v>32</v>
      </c>
      <c r="G518" s="2" t="s">
        <v>32</v>
      </c>
      <c r="H518" s="2" t="s">
        <v>32</v>
      </c>
      <c r="I518" s="2" t="s">
        <v>1054</v>
      </c>
      <c r="J518" s="2" t="s">
        <v>1052</v>
      </c>
      <c r="K518" s="2" t="s">
        <v>1558</v>
      </c>
      <c r="L518" s="17" t="s">
        <v>1567</v>
      </c>
      <c r="M518" s="5" t="s">
        <v>1577</v>
      </c>
      <c r="N518" s="19" t="s">
        <v>1578</v>
      </c>
      <c r="O518" s="20">
        <f ca="1">DATEDIF(Addmisson[[#This Row],[Student_DOB]],TODAY(),"y")</f>
        <v>18</v>
      </c>
      <c r="P518" s="20" t="str">
        <f>TEXT(Addmisson[[#This Row],[Admission_Date]],"mmmm")</f>
        <v>June</v>
      </c>
      <c r="Q518" s="20">
        <f>YEAR(Addmisson[[#This Row],[Admission_Date]])</f>
        <v>2026</v>
      </c>
    </row>
    <row r="519" spans="1:17" x14ac:dyDescent="0.25">
      <c r="A519" s="14" t="s">
        <v>1609</v>
      </c>
      <c r="B519" s="15">
        <v>46189</v>
      </c>
      <c r="C519" s="16" t="s">
        <v>1764</v>
      </c>
      <c r="D519" s="2" t="s">
        <v>1541</v>
      </c>
      <c r="E519" s="15">
        <v>39028</v>
      </c>
      <c r="F519" s="2" t="s">
        <v>129</v>
      </c>
      <c r="G519" s="2" t="s">
        <v>129</v>
      </c>
      <c r="H519" s="2" t="s">
        <v>130</v>
      </c>
      <c r="I519" s="2" t="s">
        <v>1055</v>
      </c>
      <c r="J519" s="2" t="s">
        <v>1055</v>
      </c>
      <c r="K519" s="2" t="s">
        <v>1559</v>
      </c>
      <c r="L519" s="17" t="s">
        <v>1567</v>
      </c>
      <c r="M519" s="18" t="s">
        <v>1575</v>
      </c>
      <c r="N519" s="19" t="s">
        <v>1578</v>
      </c>
      <c r="O519" s="20">
        <f ca="1">DATEDIF(Addmisson[[#This Row],[Student_DOB]],TODAY(),"y")</f>
        <v>19</v>
      </c>
      <c r="P519" s="20" t="str">
        <f>TEXT(Addmisson[[#This Row],[Admission_Date]],"mmmm")</f>
        <v>June</v>
      </c>
      <c r="Q519" s="20">
        <f>YEAR(Addmisson[[#This Row],[Admission_Date]])</f>
        <v>2026</v>
      </c>
    </row>
    <row r="520" spans="1:17" x14ac:dyDescent="0.25">
      <c r="A520" s="14" t="s">
        <v>1610</v>
      </c>
      <c r="B520" s="15">
        <v>46190</v>
      </c>
      <c r="C520" s="16" t="s">
        <v>1765</v>
      </c>
      <c r="D520" s="2" t="s">
        <v>1542</v>
      </c>
      <c r="E520" s="3">
        <v>38578</v>
      </c>
      <c r="F520" s="2" t="s">
        <v>27</v>
      </c>
      <c r="G520" s="2" t="s">
        <v>27</v>
      </c>
      <c r="H520" s="2" t="s">
        <v>131</v>
      </c>
      <c r="I520" s="2" t="s">
        <v>16</v>
      </c>
      <c r="J520" s="2" t="s">
        <v>1056</v>
      </c>
      <c r="K520" s="2" t="s">
        <v>1560</v>
      </c>
      <c r="L520" s="17" t="s">
        <v>1567</v>
      </c>
      <c r="M520" s="5" t="s">
        <v>1570</v>
      </c>
      <c r="N520" s="19" t="s">
        <v>1578</v>
      </c>
      <c r="O520" s="20">
        <f ca="1">DATEDIF(Addmisson[[#This Row],[Student_DOB]],TODAY(),"y")</f>
        <v>21</v>
      </c>
      <c r="P520" s="20" t="str">
        <f>TEXT(Addmisson[[#This Row],[Admission_Date]],"mmmm")</f>
        <v>June</v>
      </c>
      <c r="Q520" s="20">
        <f>YEAR(Addmisson[[#This Row],[Admission_Date]])</f>
        <v>2026</v>
      </c>
    </row>
    <row r="521" spans="1:17" x14ac:dyDescent="0.25">
      <c r="A521" s="14" t="s">
        <v>1611</v>
      </c>
      <c r="B521" s="15">
        <v>46191</v>
      </c>
      <c r="C521" s="16" t="s">
        <v>1766</v>
      </c>
      <c r="D521" s="2" t="s">
        <v>1543</v>
      </c>
      <c r="E521" s="3">
        <v>39053</v>
      </c>
      <c r="F521" s="2" t="s">
        <v>148</v>
      </c>
      <c r="G521" s="2" t="s">
        <v>148</v>
      </c>
      <c r="H521" s="2" t="s">
        <v>148</v>
      </c>
      <c r="I521" s="2" t="s">
        <v>1057</v>
      </c>
      <c r="J521" s="2" t="s">
        <v>1058</v>
      </c>
      <c r="K521" s="17" t="s">
        <v>1564</v>
      </c>
      <c r="L521" s="17" t="s">
        <v>1567</v>
      </c>
      <c r="M521" s="5" t="s">
        <v>1575</v>
      </c>
      <c r="N521" s="19" t="s">
        <v>1578</v>
      </c>
      <c r="O521" s="20">
        <f ca="1">DATEDIF(Addmisson[[#This Row],[Student_DOB]],TODAY(),"y")</f>
        <v>19</v>
      </c>
      <c r="P521" s="20" t="str">
        <f>TEXT(Addmisson[[#This Row],[Admission_Date]],"mmmm")</f>
        <v>June</v>
      </c>
      <c r="Q521" s="20">
        <f>YEAR(Addmisson[[#This Row],[Admission_Date]])</f>
        <v>2026</v>
      </c>
    </row>
    <row r="522" spans="1:17" x14ac:dyDescent="0.25">
      <c r="A522" s="14" t="s">
        <v>1612</v>
      </c>
      <c r="B522" s="15">
        <v>46192</v>
      </c>
      <c r="C522" s="16" t="s">
        <v>1767</v>
      </c>
      <c r="D522" s="2" t="s">
        <v>1544</v>
      </c>
      <c r="E522" s="15">
        <v>39028</v>
      </c>
      <c r="F522" s="2" t="s">
        <v>14</v>
      </c>
      <c r="G522" s="2" t="s">
        <v>14</v>
      </c>
      <c r="H522" s="2" t="s">
        <v>132</v>
      </c>
      <c r="I522" s="17" t="s">
        <v>1057</v>
      </c>
      <c r="J522" s="17" t="s">
        <v>1058</v>
      </c>
      <c r="K522" s="2" t="s">
        <v>1558</v>
      </c>
      <c r="L522" s="17" t="s">
        <v>1567</v>
      </c>
      <c r="M522" s="5" t="s">
        <v>1571</v>
      </c>
      <c r="N522" s="19" t="s">
        <v>1578</v>
      </c>
      <c r="O522" s="20">
        <f ca="1">DATEDIF(Addmisson[[#This Row],[Student_DOB]],TODAY(),"y")</f>
        <v>19</v>
      </c>
      <c r="P522" s="20" t="str">
        <f>TEXT(Addmisson[[#This Row],[Admission_Date]],"mmmm")</f>
        <v>June</v>
      </c>
      <c r="Q522" s="20">
        <f>YEAR(Addmisson[[#This Row],[Admission_Date]])</f>
        <v>2026</v>
      </c>
    </row>
    <row r="523" spans="1:17" x14ac:dyDescent="0.25">
      <c r="A523" s="14" t="s">
        <v>1613</v>
      </c>
      <c r="B523" s="15">
        <v>46193</v>
      </c>
      <c r="C523" s="16" t="s">
        <v>1768</v>
      </c>
      <c r="D523" s="2" t="s">
        <v>1545</v>
      </c>
      <c r="E523" s="3">
        <v>39674</v>
      </c>
      <c r="F523" s="2" t="s">
        <v>127</v>
      </c>
      <c r="G523" s="2" t="s">
        <v>127</v>
      </c>
      <c r="H523" s="2" t="s">
        <v>133</v>
      </c>
      <c r="I523" s="2" t="s">
        <v>1051</v>
      </c>
      <c r="J523" s="2" t="s">
        <v>1052</v>
      </c>
      <c r="K523" s="2" t="s">
        <v>1559</v>
      </c>
      <c r="L523" s="17" t="s">
        <v>1567</v>
      </c>
      <c r="M523" s="5" t="s">
        <v>1572</v>
      </c>
      <c r="N523" s="19" t="s">
        <v>1578</v>
      </c>
      <c r="O523" s="20">
        <f ca="1">DATEDIF(Addmisson[[#This Row],[Student_DOB]],TODAY(),"y")</f>
        <v>18</v>
      </c>
      <c r="P523" s="20" t="str">
        <f>TEXT(Addmisson[[#This Row],[Admission_Date]],"mmmm")</f>
        <v>June</v>
      </c>
      <c r="Q523" s="20">
        <f>YEAR(Addmisson[[#This Row],[Admission_Date]])</f>
        <v>2026</v>
      </c>
    </row>
    <row r="524" spans="1:17" x14ac:dyDescent="0.25">
      <c r="A524" s="14" t="s">
        <v>1614</v>
      </c>
      <c r="B524" s="15">
        <v>46194</v>
      </c>
      <c r="C524" s="16" t="s">
        <v>1769</v>
      </c>
      <c r="D524" s="2" t="s">
        <v>1546</v>
      </c>
      <c r="E524" s="3">
        <v>40149</v>
      </c>
      <c r="F524" s="2" t="s">
        <v>138</v>
      </c>
      <c r="G524" s="2" t="s">
        <v>138</v>
      </c>
      <c r="H524" s="2" t="s">
        <v>138</v>
      </c>
      <c r="I524" s="2" t="s">
        <v>1053</v>
      </c>
      <c r="J524" s="2" t="s">
        <v>1052</v>
      </c>
      <c r="K524" s="2" t="s">
        <v>1560</v>
      </c>
      <c r="L524" s="17" t="s">
        <v>1567</v>
      </c>
      <c r="M524" s="5" t="s">
        <v>1573</v>
      </c>
      <c r="N524" s="19" t="s">
        <v>1578</v>
      </c>
      <c r="O524" s="20">
        <f ca="1">DATEDIF(Addmisson[[#This Row],[Student_DOB]],TODAY(),"y")</f>
        <v>16</v>
      </c>
      <c r="P524" s="20" t="str">
        <f>TEXT(Addmisson[[#This Row],[Admission_Date]],"mmmm")</f>
        <v>June</v>
      </c>
      <c r="Q524" s="20">
        <f>YEAR(Addmisson[[#This Row],[Admission_Date]])</f>
        <v>2026</v>
      </c>
    </row>
    <row r="525" spans="1:17" x14ac:dyDescent="0.25">
      <c r="A525" s="14" t="s">
        <v>1615</v>
      </c>
      <c r="B525" s="15">
        <v>46195</v>
      </c>
      <c r="C525" s="16" t="s">
        <v>1770</v>
      </c>
      <c r="D525" s="2" t="s">
        <v>1547</v>
      </c>
      <c r="E525" s="15">
        <v>38663</v>
      </c>
      <c r="F525" s="17" t="s">
        <v>14</v>
      </c>
      <c r="G525" s="17" t="s">
        <v>14</v>
      </c>
      <c r="H525" s="17" t="s">
        <v>15</v>
      </c>
      <c r="I525" s="2" t="s">
        <v>1054</v>
      </c>
      <c r="J525" s="2" t="s">
        <v>1052</v>
      </c>
      <c r="K525" s="17" t="s">
        <v>1564</v>
      </c>
      <c r="L525" s="17" t="s">
        <v>1567</v>
      </c>
      <c r="M525" s="5" t="s">
        <v>1574</v>
      </c>
      <c r="N525" s="19" t="s">
        <v>1578</v>
      </c>
      <c r="O525" s="20">
        <f ca="1">DATEDIF(Addmisson[[#This Row],[Student_DOB]],TODAY(),"y")</f>
        <v>20</v>
      </c>
      <c r="P525" s="20" t="str">
        <f>TEXT(Addmisson[[#This Row],[Admission_Date]],"mmmm")</f>
        <v>June</v>
      </c>
      <c r="Q525" s="20">
        <f>YEAR(Addmisson[[#This Row],[Admission_Date]])</f>
        <v>2026</v>
      </c>
    </row>
    <row r="526" spans="1:17" x14ac:dyDescent="0.25">
      <c r="A526" s="14" t="s">
        <v>1616</v>
      </c>
      <c r="B526" s="15">
        <v>46196</v>
      </c>
      <c r="C526" s="16" t="s">
        <v>1771</v>
      </c>
      <c r="D526" s="2" t="s">
        <v>1548</v>
      </c>
      <c r="E526" s="3">
        <v>39308</v>
      </c>
      <c r="F526" s="2" t="s">
        <v>32</v>
      </c>
      <c r="G526" s="2" t="s">
        <v>32</v>
      </c>
      <c r="H526" s="2" t="s">
        <v>32</v>
      </c>
      <c r="I526" s="2" t="s">
        <v>1055</v>
      </c>
      <c r="J526" s="2" t="s">
        <v>1055</v>
      </c>
      <c r="K526" s="2" t="s">
        <v>1558</v>
      </c>
      <c r="L526" s="17" t="s">
        <v>1567</v>
      </c>
      <c r="M526" s="5" t="s">
        <v>1576</v>
      </c>
      <c r="N526" s="19" t="s">
        <v>1578</v>
      </c>
      <c r="O526" s="20">
        <f ca="1">DATEDIF(Addmisson[[#This Row],[Student_DOB]],TODAY(),"y")</f>
        <v>19</v>
      </c>
      <c r="P526" s="20" t="str">
        <f>TEXT(Addmisson[[#This Row],[Admission_Date]],"mmmm")</f>
        <v>June</v>
      </c>
      <c r="Q526" s="20">
        <f>YEAR(Addmisson[[#This Row],[Admission_Date]])</f>
        <v>2026</v>
      </c>
    </row>
    <row r="527" spans="1:17" x14ac:dyDescent="0.25">
      <c r="A527" s="14" t="s">
        <v>1617</v>
      </c>
      <c r="B527" s="15">
        <v>46197</v>
      </c>
      <c r="C527" s="16" t="s">
        <v>1772</v>
      </c>
      <c r="D527" s="2" t="s">
        <v>1549</v>
      </c>
      <c r="E527" s="3">
        <v>39053</v>
      </c>
      <c r="F527" s="2" t="s">
        <v>129</v>
      </c>
      <c r="G527" s="2" t="s">
        <v>129</v>
      </c>
      <c r="H527" s="2" t="s">
        <v>130</v>
      </c>
      <c r="I527" s="2" t="s">
        <v>16</v>
      </c>
      <c r="J527" s="2" t="s">
        <v>1056</v>
      </c>
      <c r="K527" s="2" t="s">
        <v>1559</v>
      </c>
      <c r="L527" s="17" t="s">
        <v>1567</v>
      </c>
      <c r="M527" s="5" t="s">
        <v>1577</v>
      </c>
      <c r="N527" s="19" t="s">
        <v>1578</v>
      </c>
      <c r="O527" s="20">
        <f ca="1">DATEDIF(Addmisson[[#This Row],[Student_DOB]],TODAY(),"y")</f>
        <v>19</v>
      </c>
      <c r="P527" s="20" t="str">
        <f>TEXT(Addmisson[[#This Row],[Admission_Date]],"mmmm")</f>
        <v>June</v>
      </c>
      <c r="Q527" s="20">
        <f>YEAR(Addmisson[[#This Row],[Admission_Date]])</f>
        <v>2026</v>
      </c>
    </row>
    <row r="528" spans="1:17" x14ac:dyDescent="0.25">
      <c r="A528" s="14" t="s">
        <v>1618</v>
      </c>
      <c r="B528" s="15">
        <v>46198</v>
      </c>
      <c r="C528" s="16" t="s">
        <v>1773</v>
      </c>
      <c r="D528" s="2" t="s">
        <v>1550</v>
      </c>
      <c r="E528" s="15">
        <v>39028</v>
      </c>
      <c r="F528" s="2" t="s">
        <v>27</v>
      </c>
      <c r="G528" s="2" t="s">
        <v>27</v>
      </c>
      <c r="H528" s="2" t="s">
        <v>131</v>
      </c>
      <c r="I528" s="2" t="s">
        <v>1057</v>
      </c>
      <c r="J528" s="2" t="s">
        <v>1058</v>
      </c>
      <c r="K528" s="2" t="s">
        <v>1560</v>
      </c>
      <c r="L528" s="17" t="s">
        <v>1567</v>
      </c>
      <c r="M528" s="18" t="s">
        <v>1575</v>
      </c>
      <c r="N528" s="19" t="s">
        <v>1578</v>
      </c>
      <c r="O528" s="20">
        <f ca="1">DATEDIF(Addmisson[[#This Row],[Student_DOB]],TODAY(),"y")</f>
        <v>19</v>
      </c>
      <c r="P528" s="20" t="str">
        <f>TEXT(Addmisson[[#This Row],[Admission_Date]],"mmmm")</f>
        <v>June</v>
      </c>
      <c r="Q528" s="20">
        <f>YEAR(Addmisson[[#This Row],[Admission_Date]])</f>
        <v>2026</v>
      </c>
    </row>
    <row r="529" spans="1:17" x14ac:dyDescent="0.25">
      <c r="A529" s="14" t="s">
        <v>1619</v>
      </c>
      <c r="B529" s="15">
        <v>46199</v>
      </c>
      <c r="C529" s="16" t="s">
        <v>1774</v>
      </c>
      <c r="D529" s="2" t="s">
        <v>1551</v>
      </c>
      <c r="E529" s="3">
        <v>38578</v>
      </c>
      <c r="F529" s="2" t="s">
        <v>148</v>
      </c>
      <c r="G529" s="2" t="s">
        <v>148</v>
      </c>
      <c r="H529" s="2" t="s">
        <v>148</v>
      </c>
      <c r="I529" s="17" t="s">
        <v>1057</v>
      </c>
      <c r="J529" s="17" t="s">
        <v>1058</v>
      </c>
      <c r="K529" s="17" t="s">
        <v>1564</v>
      </c>
      <c r="L529" s="17" t="s">
        <v>1567</v>
      </c>
      <c r="M529" s="5" t="s">
        <v>1570</v>
      </c>
      <c r="N529" s="19" t="s">
        <v>1578</v>
      </c>
      <c r="O529" s="20">
        <f ca="1">DATEDIF(Addmisson[[#This Row],[Student_DOB]],TODAY(),"y")</f>
        <v>21</v>
      </c>
      <c r="P529" s="20" t="str">
        <f>TEXT(Addmisson[[#This Row],[Admission_Date]],"mmmm")</f>
        <v>June</v>
      </c>
      <c r="Q529" s="20">
        <f>YEAR(Addmisson[[#This Row],[Admission_Date]])</f>
        <v>2026</v>
      </c>
    </row>
    <row r="530" spans="1:17" x14ac:dyDescent="0.25">
      <c r="A530" s="14" t="s">
        <v>1620</v>
      </c>
      <c r="B530" s="15">
        <v>46200</v>
      </c>
      <c r="C530" s="16" t="s">
        <v>1775</v>
      </c>
      <c r="D530" s="2" t="s">
        <v>1552</v>
      </c>
      <c r="E530" s="3">
        <v>39053</v>
      </c>
      <c r="F530" s="2" t="s">
        <v>14</v>
      </c>
      <c r="G530" s="2" t="s">
        <v>14</v>
      </c>
      <c r="H530" s="2" t="s">
        <v>132</v>
      </c>
      <c r="I530" s="2" t="s">
        <v>1051</v>
      </c>
      <c r="J530" s="2" t="s">
        <v>1052</v>
      </c>
      <c r="K530" s="2" t="s">
        <v>1558</v>
      </c>
      <c r="L530" s="17" t="s">
        <v>1567</v>
      </c>
      <c r="M530" s="5" t="s">
        <v>1575</v>
      </c>
      <c r="N530" s="19" t="s">
        <v>1578</v>
      </c>
      <c r="O530" s="20">
        <f ca="1">DATEDIF(Addmisson[[#This Row],[Student_DOB]],TODAY(),"y")</f>
        <v>19</v>
      </c>
      <c r="P530" s="20" t="str">
        <f>TEXT(Addmisson[[#This Row],[Admission_Date]],"mmmm")</f>
        <v>June</v>
      </c>
      <c r="Q530" s="20">
        <f>YEAR(Addmisson[[#This Row],[Admission_Date]])</f>
        <v>2026</v>
      </c>
    </row>
    <row r="531" spans="1:17" x14ac:dyDescent="0.25">
      <c r="A531" s="14" t="s">
        <v>1621</v>
      </c>
      <c r="B531" s="15">
        <v>46201</v>
      </c>
      <c r="C531" s="16" t="s">
        <v>1776</v>
      </c>
      <c r="D531" s="2" t="s">
        <v>1553</v>
      </c>
      <c r="E531" s="15">
        <v>39028</v>
      </c>
      <c r="F531" s="2" t="s">
        <v>127</v>
      </c>
      <c r="G531" s="2" t="s">
        <v>127</v>
      </c>
      <c r="H531" s="2" t="s">
        <v>133</v>
      </c>
      <c r="I531" s="2" t="s">
        <v>1053</v>
      </c>
      <c r="J531" s="2" t="s">
        <v>1052</v>
      </c>
      <c r="K531" s="2" t="s">
        <v>1559</v>
      </c>
      <c r="L531" s="17" t="s">
        <v>1567</v>
      </c>
      <c r="M531" s="5" t="s">
        <v>1571</v>
      </c>
      <c r="N531" s="19" t="s">
        <v>1578</v>
      </c>
      <c r="O531" s="20">
        <f ca="1">DATEDIF(Addmisson[[#This Row],[Student_DOB]],TODAY(),"y")</f>
        <v>19</v>
      </c>
      <c r="P531" s="20" t="str">
        <f>TEXT(Addmisson[[#This Row],[Admission_Date]],"mmmm")</f>
        <v>June</v>
      </c>
      <c r="Q531" s="20">
        <f>YEAR(Addmisson[[#This Row],[Admission_Date]])</f>
        <v>2026</v>
      </c>
    </row>
    <row r="532" spans="1:17" x14ac:dyDescent="0.25">
      <c r="A532" s="14" t="s">
        <v>1622</v>
      </c>
      <c r="B532" s="15">
        <v>46202</v>
      </c>
      <c r="C532" s="16" t="s">
        <v>1777</v>
      </c>
      <c r="D532" s="2" t="s">
        <v>1554</v>
      </c>
      <c r="E532" s="3">
        <v>38578</v>
      </c>
      <c r="F532" s="2" t="s">
        <v>138</v>
      </c>
      <c r="G532" s="2" t="s">
        <v>138</v>
      </c>
      <c r="H532" s="2" t="s">
        <v>138</v>
      </c>
      <c r="I532" s="2" t="s">
        <v>1054</v>
      </c>
      <c r="J532" s="2" t="s">
        <v>1052</v>
      </c>
      <c r="K532" s="2" t="s">
        <v>1560</v>
      </c>
      <c r="L532" s="17" t="s">
        <v>1567</v>
      </c>
      <c r="M532" s="5" t="s">
        <v>1572</v>
      </c>
      <c r="N532" s="19" t="s">
        <v>1578</v>
      </c>
      <c r="O532" s="20">
        <f ca="1">DATEDIF(Addmisson[[#This Row],[Student_DOB]],TODAY(),"y")</f>
        <v>21</v>
      </c>
      <c r="P532" s="20" t="str">
        <f>TEXT(Addmisson[[#This Row],[Admission_Date]],"mmmm")</f>
        <v>June</v>
      </c>
      <c r="Q532" s="20">
        <f>YEAR(Addmisson[[#This Row],[Admission_Date]])</f>
        <v>2026</v>
      </c>
    </row>
    <row r="533" spans="1:17" x14ac:dyDescent="0.25">
      <c r="A533" s="14" t="s">
        <v>1623</v>
      </c>
      <c r="B533" s="15">
        <v>46203</v>
      </c>
      <c r="C533" s="16" t="s">
        <v>1778</v>
      </c>
      <c r="D533" s="2" t="s">
        <v>1555</v>
      </c>
      <c r="E533" s="3">
        <v>39053</v>
      </c>
      <c r="F533" s="17" t="s">
        <v>14</v>
      </c>
      <c r="G533" s="17" t="s">
        <v>14</v>
      </c>
      <c r="H533" s="17" t="s">
        <v>15</v>
      </c>
      <c r="I533" s="2" t="s">
        <v>1055</v>
      </c>
      <c r="J533" s="2" t="s">
        <v>1055</v>
      </c>
      <c r="K533" s="17" t="s">
        <v>1564</v>
      </c>
      <c r="L533" s="17" t="s">
        <v>1567</v>
      </c>
      <c r="M533" s="5" t="s">
        <v>1573</v>
      </c>
      <c r="N533" s="19" t="s">
        <v>1578</v>
      </c>
      <c r="O533" s="20">
        <f ca="1">DATEDIF(Addmisson[[#This Row],[Student_DOB]],TODAY(),"y")</f>
        <v>19</v>
      </c>
      <c r="P533" s="20" t="str">
        <f>TEXT(Addmisson[[#This Row],[Admission_Date]],"mmmm")</f>
        <v>June</v>
      </c>
      <c r="Q533" s="20">
        <f>YEAR(Addmisson[[#This Row],[Admission_Date]])</f>
        <v>2026</v>
      </c>
    </row>
    <row r="534" spans="1:17" x14ac:dyDescent="0.25">
      <c r="A534" s="14" t="s">
        <v>1624</v>
      </c>
      <c r="B534" s="15">
        <v>46204</v>
      </c>
      <c r="C534" s="16" t="s">
        <v>1779</v>
      </c>
      <c r="D534" s="2" t="s">
        <v>1556</v>
      </c>
      <c r="E534" s="15">
        <v>39028</v>
      </c>
      <c r="F534" s="2" t="s">
        <v>32</v>
      </c>
      <c r="G534" s="2" t="s">
        <v>32</v>
      </c>
      <c r="H534" s="2" t="s">
        <v>32</v>
      </c>
      <c r="I534" s="2" t="s">
        <v>16</v>
      </c>
      <c r="J534" s="2" t="s">
        <v>1056</v>
      </c>
      <c r="K534" s="2" t="s">
        <v>1558</v>
      </c>
      <c r="L534" s="17" t="s">
        <v>1567</v>
      </c>
      <c r="M534" s="5" t="s">
        <v>1574</v>
      </c>
      <c r="N534" s="19" t="s">
        <v>1578</v>
      </c>
      <c r="O534" s="20">
        <f ca="1">DATEDIF(Addmisson[[#This Row],[Student_DOB]],TODAY(),"y")</f>
        <v>19</v>
      </c>
      <c r="P534" s="20" t="str">
        <f>TEXT(Addmisson[[#This Row],[Admission_Date]],"mmmm")</f>
        <v>July</v>
      </c>
      <c r="Q534" s="20">
        <f>YEAR(Addmisson[[#This Row],[Admission_Date]])</f>
        <v>2026</v>
      </c>
    </row>
    <row r="535" spans="1:17" x14ac:dyDescent="0.25">
      <c r="A535" s="14" t="s">
        <v>1625</v>
      </c>
      <c r="B535" s="15">
        <v>46205</v>
      </c>
      <c r="C535" s="16" t="s">
        <v>1780</v>
      </c>
      <c r="D535" s="17" t="s">
        <v>1581</v>
      </c>
      <c r="E535" s="3">
        <v>39821</v>
      </c>
      <c r="F535" s="2" t="s">
        <v>129</v>
      </c>
      <c r="G535" s="2" t="s">
        <v>129</v>
      </c>
      <c r="H535" s="2" t="s">
        <v>130</v>
      </c>
      <c r="I535" s="2" t="s">
        <v>1057</v>
      </c>
      <c r="J535" s="2" t="s">
        <v>1058</v>
      </c>
      <c r="K535" s="2" t="s">
        <v>1559</v>
      </c>
      <c r="L535" s="17" t="s">
        <v>1567</v>
      </c>
      <c r="M535" s="5" t="s">
        <v>1576</v>
      </c>
      <c r="N535" s="19" t="s">
        <v>1578</v>
      </c>
      <c r="O535" s="20">
        <f ca="1">DATEDIF(Addmisson[[#This Row],[Student_DOB]],TODAY(),"y")</f>
        <v>17</v>
      </c>
      <c r="P535" s="20" t="str">
        <f>TEXT(Addmisson[[#This Row],[Admission_Date]],"mmmm")</f>
        <v>July</v>
      </c>
      <c r="Q535" s="20">
        <f>YEAR(Addmisson[[#This Row],[Admission_Date]])</f>
        <v>2026</v>
      </c>
    </row>
    <row r="536" spans="1:17" x14ac:dyDescent="0.25">
      <c r="A536" s="14" t="s">
        <v>1626</v>
      </c>
      <c r="B536" s="15">
        <v>46206</v>
      </c>
      <c r="C536" s="16" t="s">
        <v>1781</v>
      </c>
      <c r="D536" s="2" t="s">
        <v>1541</v>
      </c>
      <c r="E536" s="3">
        <v>39053</v>
      </c>
      <c r="F536" s="2" t="s">
        <v>27</v>
      </c>
      <c r="G536" s="2" t="s">
        <v>27</v>
      </c>
      <c r="H536" s="2" t="s">
        <v>131</v>
      </c>
      <c r="I536" s="17" t="s">
        <v>1057</v>
      </c>
      <c r="J536" s="17" t="s">
        <v>1058</v>
      </c>
      <c r="K536" s="2" t="s">
        <v>1560</v>
      </c>
      <c r="L536" s="17" t="s">
        <v>1567</v>
      </c>
      <c r="M536" s="5" t="s">
        <v>1577</v>
      </c>
      <c r="N536" s="19" t="s">
        <v>1578</v>
      </c>
      <c r="O536" s="20">
        <f ca="1">DATEDIF(Addmisson[[#This Row],[Student_DOB]],TODAY(),"y")</f>
        <v>19</v>
      </c>
      <c r="P536" s="20" t="str">
        <f>TEXT(Addmisson[[#This Row],[Admission_Date]],"mmmm")</f>
        <v>July</v>
      </c>
      <c r="Q536" s="20">
        <f>YEAR(Addmisson[[#This Row],[Admission_Date]])</f>
        <v>2026</v>
      </c>
    </row>
    <row r="537" spans="1:17" x14ac:dyDescent="0.25">
      <c r="A537" s="14" t="s">
        <v>1627</v>
      </c>
      <c r="B537" s="15">
        <v>46207</v>
      </c>
      <c r="C537" s="16" t="s">
        <v>1782</v>
      </c>
      <c r="D537" s="2" t="s">
        <v>1542</v>
      </c>
      <c r="E537" s="15">
        <v>39028</v>
      </c>
      <c r="F537" s="2" t="s">
        <v>148</v>
      </c>
      <c r="G537" s="2" t="s">
        <v>148</v>
      </c>
      <c r="H537" s="2" t="s">
        <v>148</v>
      </c>
      <c r="I537" s="2" t="s">
        <v>1051</v>
      </c>
      <c r="J537" s="2" t="s">
        <v>1052</v>
      </c>
      <c r="K537" s="17" t="s">
        <v>1564</v>
      </c>
      <c r="L537" s="17" t="s">
        <v>1567</v>
      </c>
      <c r="M537" s="18" t="s">
        <v>1575</v>
      </c>
      <c r="N537" s="19" t="s">
        <v>1578</v>
      </c>
      <c r="O537" s="20">
        <f ca="1">DATEDIF(Addmisson[[#This Row],[Student_DOB]],TODAY(),"y")</f>
        <v>19</v>
      </c>
      <c r="P537" s="20" t="str">
        <f>TEXT(Addmisson[[#This Row],[Admission_Date]],"mmmm")</f>
        <v>July</v>
      </c>
      <c r="Q537" s="20">
        <f>YEAR(Addmisson[[#This Row],[Admission_Date]])</f>
        <v>2026</v>
      </c>
    </row>
    <row r="538" spans="1:17" x14ac:dyDescent="0.25">
      <c r="A538" s="14" t="s">
        <v>1628</v>
      </c>
      <c r="B538" s="15">
        <v>46208</v>
      </c>
      <c r="C538" s="16" t="s">
        <v>1783</v>
      </c>
      <c r="D538" s="2" t="s">
        <v>1543</v>
      </c>
      <c r="E538" s="3">
        <v>38578</v>
      </c>
      <c r="F538" s="2" t="s">
        <v>14</v>
      </c>
      <c r="G538" s="2" t="s">
        <v>14</v>
      </c>
      <c r="H538" s="2" t="s">
        <v>132</v>
      </c>
      <c r="I538" s="2" t="s">
        <v>1053</v>
      </c>
      <c r="J538" s="2" t="s">
        <v>1052</v>
      </c>
      <c r="K538" s="2" t="s">
        <v>1558</v>
      </c>
      <c r="L538" s="17" t="s">
        <v>1567</v>
      </c>
      <c r="M538" s="5" t="s">
        <v>1570</v>
      </c>
      <c r="N538" s="19" t="s">
        <v>1578</v>
      </c>
      <c r="O538" s="20">
        <f ca="1">DATEDIF(Addmisson[[#This Row],[Student_DOB]],TODAY(),"y")</f>
        <v>21</v>
      </c>
      <c r="P538" s="20" t="str">
        <f>TEXT(Addmisson[[#This Row],[Admission_Date]],"mmmm")</f>
        <v>July</v>
      </c>
      <c r="Q538" s="20">
        <f>YEAR(Addmisson[[#This Row],[Admission_Date]])</f>
        <v>2026</v>
      </c>
    </row>
    <row r="539" spans="1:17" x14ac:dyDescent="0.25">
      <c r="A539" s="14" t="s">
        <v>1629</v>
      </c>
      <c r="B539" s="15">
        <v>46209</v>
      </c>
      <c r="C539" s="16" t="s">
        <v>1784</v>
      </c>
      <c r="D539" s="2" t="s">
        <v>1544</v>
      </c>
      <c r="E539" s="3">
        <v>39053</v>
      </c>
      <c r="F539" s="2" t="s">
        <v>127</v>
      </c>
      <c r="G539" s="2" t="s">
        <v>127</v>
      </c>
      <c r="H539" s="2" t="s">
        <v>133</v>
      </c>
      <c r="I539" s="2" t="s">
        <v>1054</v>
      </c>
      <c r="J539" s="2" t="s">
        <v>1052</v>
      </c>
      <c r="K539" s="2" t="s">
        <v>1559</v>
      </c>
      <c r="L539" s="17" t="s">
        <v>1567</v>
      </c>
      <c r="M539" s="5" t="s">
        <v>1575</v>
      </c>
      <c r="N539" s="19" t="s">
        <v>1578</v>
      </c>
      <c r="O539" s="20">
        <f ca="1">DATEDIF(Addmisson[[#This Row],[Student_DOB]],TODAY(),"y")</f>
        <v>19</v>
      </c>
      <c r="P539" s="20" t="str">
        <f>TEXT(Addmisson[[#This Row],[Admission_Date]],"mmmm")</f>
        <v>July</v>
      </c>
      <c r="Q539" s="20">
        <f>YEAR(Addmisson[[#This Row],[Admission_Date]])</f>
        <v>2026</v>
      </c>
    </row>
    <row r="540" spans="1:17" x14ac:dyDescent="0.25">
      <c r="A540" s="14" t="s">
        <v>1630</v>
      </c>
      <c r="B540" s="15">
        <v>46210</v>
      </c>
      <c r="C540" s="16" t="s">
        <v>1785</v>
      </c>
      <c r="D540" s="2" t="s">
        <v>1545</v>
      </c>
      <c r="E540" s="15">
        <v>39028</v>
      </c>
      <c r="F540" s="2" t="s">
        <v>138</v>
      </c>
      <c r="G540" s="2" t="s">
        <v>138</v>
      </c>
      <c r="H540" s="2" t="s">
        <v>138</v>
      </c>
      <c r="I540" s="2" t="s">
        <v>1055</v>
      </c>
      <c r="J540" s="2" t="s">
        <v>1055</v>
      </c>
      <c r="K540" s="2" t="s">
        <v>1560</v>
      </c>
      <c r="L540" s="17" t="s">
        <v>1567</v>
      </c>
      <c r="M540" s="5" t="s">
        <v>1571</v>
      </c>
      <c r="N540" s="19" t="s">
        <v>1578</v>
      </c>
      <c r="O540" s="20">
        <f ca="1">DATEDIF(Addmisson[[#This Row],[Student_DOB]],TODAY(),"y")</f>
        <v>19</v>
      </c>
      <c r="P540" s="20" t="str">
        <f>TEXT(Addmisson[[#This Row],[Admission_Date]],"mmmm")</f>
        <v>July</v>
      </c>
      <c r="Q540" s="20">
        <f>YEAR(Addmisson[[#This Row],[Admission_Date]])</f>
        <v>2026</v>
      </c>
    </row>
    <row r="541" spans="1:17" x14ac:dyDescent="0.25">
      <c r="A541" s="14" t="s">
        <v>1631</v>
      </c>
      <c r="B541" s="15">
        <v>46211</v>
      </c>
      <c r="C541" s="16" t="s">
        <v>1786</v>
      </c>
      <c r="D541" s="2" t="s">
        <v>1546</v>
      </c>
      <c r="E541" s="3">
        <v>38578</v>
      </c>
      <c r="F541" s="17" t="s">
        <v>14</v>
      </c>
      <c r="G541" s="17" t="s">
        <v>14</v>
      </c>
      <c r="H541" s="17" t="s">
        <v>15</v>
      </c>
      <c r="I541" s="2" t="s">
        <v>16</v>
      </c>
      <c r="J541" s="2" t="s">
        <v>1056</v>
      </c>
      <c r="K541" s="17" t="s">
        <v>1564</v>
      </c>
      <c r="L541" s="17" t="s">
        <v>1567</v>
      </c>
      <c r="M541" s="5" t="s">
        <v>1572</v>
      </c>
      <c r="N541" s="19" t="s">
        <v>1578</v>
      </c>
      <c r="O541" s="20">
        <f ca="1">DATEDIF(Addmisson[[#This Row],[Student_DOB]],TODAY(),"y")</f>
        <v>21</v>
      </c>
      <c r="P541" s="20" t="str">
        <f>TEXT(Addmisson[[#This Row],[Admission_Date]],"mmmm")</f>
        <v>July</v>
      </c>
      <c r="Q541" s="20">
        <f>YEAR(Addmisson[[#This Row],[Admission_Date]])</f>
        <v>2026</v>
      </c>
    </row>
    <row r="542" spans="1:17" x14ac:dyDescent="0.25">
      <c r="A542" s="14" t="s">
        <v>1632</v>
      </c>
      <c r="B542" s="15">
        <v>46212</v>
      </c>
      <c r="C542" s="16" t="s">
        <v>1787</v>
      </c>
      <c r="D542" s="2" t="s">
        <v>1547</v>
      </c>
      <c r="E542" s="3">
        <v>40149</v>
      </c>
      <c r="F542" s="2" t="s">
        <v>32</v>
      </c>
      <c r="G542" s="2" t="s">
        <v>32</v>
      </c>
      <c r="H542" s="2" t="s">
        <v>32</v>
      </c>
      <c r="I542" s="2" t="s">
        <v>1057</v>
      </c>
      <c r="J542" s="2" t="s">
        <v>1058</v>
      </c>
      <c r="K542" s="2" t="s">
        <v>1558</v>
      </c>
      <c r="L542" s="17" t="s">
        <v>1567</v>
      </c>
      <c r="M542" s="5" t="s">
        <v>1573</v>
      </c>
      <c r="N542" s="19" t="s">
        <v>1578</v>
      </c>
      <c r="O542" s="20">
        <f ca="1">DATEDIF(Addmisson[[#This Row],[Student_DOB]],TODAY(),"y")</f>
        <v>16</v>
      </c>
      <c r="P542" s="20" t="str">
        <f>TEXT(Addmisson[[#This Row],[Admission_Date]],"mmmm")</f>
        <v>July</v>
      </c>
      <c r="Q542" s="20">
        <f>YEAR(Addmisson[[#This Row],[Admission_Date]])</f>
        <v>2026</v>
      </c>
    </row>
    <row r="543" spans="1:17" x14ac:dyDescent="0.25">
      <c r="A543" s="14" t="s">
        <v>1633</v>
      </c>
      <c r="B543" s="15">
        <v>46213</v>
      </c>
      <c r="C543" s="16" t="s">
        <v>1788</v>
      </c>
      <c r="D543" s="2" t="s">
        <v>1548</v>
      </c>
      <c r="E543" s="15">
        <v>39028</v>
      </c>
      <c r="F543" s="2" t="s">
        <v>129</v>
      </c>
      <c r="G543" s="2" t="s">
        <v>129</v>
      </c>
      <c r="H543" s="2" t="s">
        <v>130</v>
      </c>
      <c r="I543" s="17" t="s">
        <v>1057</v>
      </c>
      <c r="J543" s="17" t="s">
        <v>1058</v>
      </c>
      <c r="K543" s="2" t="s">
        <v>1559</v>
      </c>
      <c r="L543" s="17" t="s">
        <v>1567</v>
      </c>
      <c r="M543" s="5" t="s">
        <v>1574</v>
      </c>
      <c r="N543" s="19" t="s">
        <v>1578</v>
      </c>
      <c r="O543" s="20">
        <f ca="1">DATEDIF(Addmisson[[#This Row],[Student_DOB]],TODAY(),"y")</f>
        <v>19</v>
      </c>
      <c r="P543" s="20" t="str">
        <f>TEXT(Addmisson[[#This Row],[Admission_Date]],"mmmm")</f>
        <v>July</v>
      </c>
      <c r="Q543" s="20">
        <f>YEAR(Addmisson[[#This Row],[Admission_Date]])</f>
        <v>2026</v>
      </c>
    </row>
    <row r="544" spans="1:17" x14ac:dyDescent="0.25">
      <c r="A544" s="14" t="s">
        <v>1634</v>
      </c>
      <c r="B544" s="15">
        <v>46214</v>
      </c>
      <c r="C544" s="16" t="s">
        <v>1789</v>
      </c>
      <c r="D544" s="2" t="s">
        <v>1549</v>
      </c>
      <c r="E544" s="3">
        <v>38578</v>
      </c>
      <c r="F544" s="2" t="s">
        <v>27</v>
      </c>
      <c r="G544" s="2" t="s">
        <v>27</v>
      </c>
      <c r="H544" s="2" t="s">
        <v>131</v>
      </c>
      <c r="I544" s="2" t="s">
        <v>1051</v>
      </c>
      <c r="J544" s="2" t="s">
        <v>1052</v>
      </c>
      <c r="K544" s="2" t="s">
        <v>1560</v>
      </c>
      <c r="L544" s="17" t="s">
        <v>1567</v>
      </c>
      <c r="M544" s="5" t="s">
        <v>1576</v>
      </c>
      <c r="N544" s="19" t="s">
        <v>1578</v>
      </c>
      <c r="O544" s="20">
        <f ca="1">DATEDIF(Addmisson[[#This Row],[Student_DOB]],TODAY(),"y")</f>
        <v>21</v>
      </c>
      <c r="P544" s="20" t="str">
        <f>TEXT(Addmisson[[#This Row],[Admission_Date]],"mmmm")</f>
        <v>July</v>
      </c>
      <c r="Q544" s="20">
        <f>YEAR(Addmisson[[#This Row],[Admission_Date]])</f>
        <v>2026</v>
      </c>
    </row>
    <row r="545" spans="1:17" x14ac:dyDescent="0.25">
      <c r="A545" s="14" t="s">
        <v>1635</v>
      </c>
      <c r="B545" s="15">
        <v>46215</v>
      </c>
      <c r="C545" s="16" t="s">
        <v>1790</v>
      </c>
      <c r="D545" s="2" t="s">
        <v>1550</v>
      </c>
      <c r="E545" s="3">
        <v>39053</v>
      </c>
      <c r="F545" s="2" t="s">
        <v>148</v>
      </c>
      <c r="G545" s="2" t="s">
        <v>148</v>
      </c>
      <c r="H545" s="2" t="s">
        <v>148</v>
      </c>
      <c r="I545" s="2" t="s">
        <v>1053</v>
      </c>
      <c r="J545" s="2" t="s">
        <v>1052</v>
      </c>
      <c r="K545" s="17" t="s">
        <v>1564</v>
      </c>
      <c r="L545" s="17" t="s">
        <v>1567</v>
      </c>
      <c r="M545" s="5" t="s">
        <v>1577</v>
      </c>
      <c r="N545" s="19" t="s">
        <v>1578</v>
      </c>
      <c r="O545" s="20">
        <f ca="1">DATEDIF(Addmisson[[#This Row],[Student_DOB]],TODAY(),"y")</f>
        <v>19</v>
      </c>
      <c r="P545" s="20" t="str">
        <f>TEXT(Addmisson[[#This Row],[Admission_Date]],"mmmm")</f>
        <v>July</v>
      </c>
      <c r="Q545" s="20">
        <f>YEAR(Addmisson[[#This Row],[Admission_Date]])</f>
        <v>2026</v>
      </c>
    </row>
    <row r="546" spans="1:17" x14ac:dyDescent="0.25">
      <c r="A546" s="14" t="s">
        <v>1636</v>
      </c>
      <c r="B546" s="15">
        <v>46216</v>
      </c>
      <c r="C546" s="16" t="s">
        <v>1791</v>
      </c>
      <c r="D546" s="2" t="s">
        <v>1551</v>
      </c>
      <c r="E546" s="15">
        <v>39393</v>
      </c>
      <c r="F546" s="2" t="s">
        <v>14</v>
      </c>
      <c r="G546" s="2" t="s">
        <v>14</v>
      </c>
      <c r="H546" s="2" t="s">
        <v>132</v>
      </c>
      <c r="I546" s="2" t="s">
        <v>1054</v>
      </c>
      <c r="J546" s="2" t="s">
        <v>1052</v>
      </c>
      <c r="K546" s="2" t="s">
        <v>1558</v>
      </c>
      <c r="L546" s="17" t="s">
        <v>1567</v>
      </c>
      <c r="M546" s="18" t="s">
        <v>1575</v>
      </c>
      <c r="N546" s="19" t="s">
        <v>1578</v>
      </c>
      <c r="O546" s="20">
        <f ca="1">DATEDIF(Addmisson[[#This Row],[Student_DOB]],TODAY(),"y")</f>
        <v>18</v>
      </c>
      <c r="P546" s="20" t="str">
        <f>TEXT(Addmisson[[#This Row],[Admission_Date]],"mmmm")</f>
        <v>July</v>
      </c>
      <c r="Q546" s="20">
        <f>YEAR(Addmisson[[#This Row],[Admission_Date]])</f>
        <v>2026</v>
      </c>
    </row>
    <row r="547" spans="1:17" x14ac:dyDescent="0.25">
      <c r="A547" s="14" t="s">
        <v>1637</v>
      </c>
      <c r="B547" s="15">
        <v>46217</v>
      </c>
      <c r="C547" s="16" t="s">
        <v>1792</v>
      </c>
      <c r="D547" s="2" t="s">
        <v>1552</v>
      </c>
      <c r="E547" s="3">
        <v>38578</v>
      </c>
      <c r="F547" s="2" t="s">
        <v>127</v>
      </c>
      <c r="G547" s="2" t="s">
        <v>127</v>
      </c>
      <c r="H547" s="2" t="s">
        <v>133</v>
      </c>
      <c r="I547" s="2" t="s">
        <v>1055</v>
      </c>
      <c r="J547" s="2" t="s">
        <v>1055</v>
      </c>
      <c r="K547" s="2" t="s">
        <v>1559</v>
      </c>
      <c r="L547" s="17" t="s">
        <v>1567</v>
      </c>
      <c r="M547" s="5" t="s">
        <v>1570</v>
      </c>
      <c r="N547" s="19" t="s">
        <v>1578</v>
      </c>
      <c r="O547" s="20">
        <f ca="1">DATEDIF(Addmisson[[#This Row],[Student_DOB]],TODAY(),"y")</f>
        <v>21</v>
      </c>
      <c r="P547" s="20" t="str">
        <f>TEXT(Addmisson[[#This Row],[Admission_Date]],"mmmm")</f>
        <v>July</v>
      </c>
      <c r="Q547" s="20">
        <f>YEAR(Addmisson[[#This Row],[Admission_Date]])</f>
        <v>2026</v>
      </c>
    </row>
    <row r="548" spans="1:17" x14ac:dyDescent="0.25">
      <c r="A548" s="14" t="s">
        <v>1638</v>
      </c>
      <c r="B548" s="15">
        <v>46218</v>
      </c>
      <c r="C548" s="16" t="s">
        <v>1793</v>
      </c>
      <c r="D548" s="2" t="s">
        <v>1553</v>
      </c>
      <c r="E548" s="3">
        <v>39053</v>
      </c>
      <c r="F548" s="2" t="s">
        <v>138</v>
      </c>
      <c r="G548" s="2" t="s">
        <v>138</v>
      </c>
      <c r="H548" s="2" t="s">
        <v>138</v>
      </c>
      <c r="I548" s="2" t="s">
        <v>16</v>
      </c>
      <c r="J548" s="2" t="s">
        <v>1056</v>
      </c>
      <c r="K548" s="2" t="s">
        <v>1560</v>
      </c>
      <c r="L548" s="17" t="s">
        <v>1567</v>
      </c>
      <c r="M548" s="5" t="s">
        <v>1575</v>
      </c>
      <c r="N548" s="19" t="s">
        <v>1578</v>
      </c>
      <c r="O548" s="20">
        <f ca="1">DATEDIF(Addmisson[[#This Row],[Student_DOB]],TODAY(),"y")</f>
        <v>19</v>
      </c>
      <c r="P548" s="20" t="str">
        <f>TEXT(Addmisson[[#This Row],[Admission_Date]],"mmmm")</f>
        <v>July</v>
      </c>
      <c r="Q548" s="20">
        <f>YEAR(Addmisson[[#This Row],[Admission_Date]])</f>
        <v>2026</v>
      </c>
    </row>
    <row r="549" spans="1:17" x14ac:dyDescent="0.25">
      <c r="A549" s="14" t="s">
        <v>1639</v>
      </c>
      <c r="B549" s="15">
        <v>46219</v>
      </c>
      <c r="C549" s="16" t="s">
        <v>1794</v>
      </c>
      <c r="D549" s="2" t="s">
        <v>1554</v>
      </c>
      <c r="E549" s="15">
        <v>39028</v>
      </c>
      <c r="F549" s="17" t="s">
        <v>14</v>
      </c>
      <c r="G549" s="17" t="s">
        <v>14</v>
      </c>
      <c r="H549" s="17" t="s">
        <v>15</v>
      </c>
      <c r="I549" s="2" t="s">
        <v>1057</v>
      </c>
      <c r="J549" s="2" t="s">
        <v>1058</v>
      </c>
      <c r="K549" s="17" t="s">
        <v>1564</v>
      </c>
      <c r="L549" s="17" t="s">
        <v>1567</v>
      </c>
      <c r="M549" s="5" t="s">
        <v>1571</v>
      </c>
      <c r="N549" s="19" t="s">
        <v>1578</v>
      </c>
      <c r="O549" s="20">
        <f ca="1">DATEDIF(Addmisson[[#This Row],[Student_DOB]],TODAY(),"y")</f>
        <v>19</v>
      </c>
      <c r="P549" s="20" t="str">
        <f>TEXT(Addmisson[[#This Row],[Admission_Date]],"mmmm")</f>
        <v>July</v>
      </c>
      <c r="Q549" s="20">
        <f>YEAR(Addmisson[[#This Row],[Admission_Date]])</f>
        <v>2026</v>
      </c>
    </row>
    <row r="550" spans="1:17" x14ac:dyDescent="0.25">
      <c r="A550" s="14" t="s">
        <v>1640</v>
      </c>
      <c r="B550" s="15">
        <v>46220</v>
      </c>
      <c r="C550" s="16" t="s">
        <v>1795</v>
      </c>
      <c r="D550" s="2" t="s">
        <v>1555</v>
      </c>
      <c r="E550" s="3">
        <v>38578</v>
      </c>
      <c r="F550" s="2" t="s">
        <v>32</v>
      </c>
      <c r="G550" s="2" t="s">
        <v>32</v>
      </c>
      <c r="H550" s="2" t="s">
        <v>32</v>
      </c>
      <c r="I550" s="17" t="s">
        <v>1057</v>
      </c>
      <c r="J550" s="17" t="s">
        <v>1058</v>
      </c>
      <c r="K550" s="2" t="s">
        <v>1558</v>
      </c>
      <c r="L550" s="17" t="s">
        <v>1567</v>
      </c>
      <c r="M550" s="5" t="s">
        <v>1572</v>
      </c>
      <c r="N550" s="19" t="s">
        <v>1578</v>
      </c>
      <c r="O550" s="20">
        <f ca="1">DATEDIF(Addmisson[[#This Row],[Student_DOB]],TODAY(),"y")</f>
        <v>21</v>
      </c>
      <c r="P550" s="20" t="str">
        <f>TEXT(Addmisson[[#This Row],[Admission_Date]],"mmmm")</f>
        <v>July</v>
      </c>
      <c r="Q550" s="20">
        <f>YEAR(Addmisson[[#This Row],[Admission_Date]])</f>
        <v>2026</v>
      </c>
    </row>
    <row r="551" spans="1:17" x14ac:dyDescent="0.25">
      <c r="A551" s="14" t="s">
        <v>1641</v>
      </c>
      <c r="B551" s="15">
        <v>46221</v>
      </c>
      <c r="C551" s="16" t="s">
        <v>1796</v>
      </c>
      <c r="D551" s="2" t="s">
        <v>1556</v>
      </c>
      <c r="E551" s="3">
        <v>39053</v>
      </c>
      <c r="F551" s="2" t="s">
        <v>129</v>
      </c>
      <c r="G551" s="2" t="s">
        <v>129</v>
      </c>
      <c r="H551" s="2" t="s">
        <v>130</v>
      </c>
      <c r="I551" s="2" t="s">
        <v>1051</v>
      </c>
      <c r="J551" s="2" t="s">
        <v>1052</v>
      </c>
      <c r="K551" s="2" t="s">
        <v>1559</v>
      </c>
      <c r="L551" s="17" t="s">
        <v>1567</v>
      </c>
      <c r="M551" s="5" t="s">
        <v>1573</v>
      </c>
      <c r="N551" s="19" t="s">
        <v>1578</v>
      </c>
      <c r="O551" s="20">
        <f ca="1">DATEDIF(Addmisson[[#This Row],[Student_DOB]],TODAY(),"y")</f>
        <v>19</v>
      </c>
      <c r="P551" s="20" t="str">
        <f>TEXT(Addmisson[[#This Row],[Admission_Date]],"mmmm")</f>
        <v>July</v>
      </c>
      <c r="Q551" s="20">
        <f>YEAR(Addmisson[[#This Row],[Admission_Date]])</f>
        <v>2026</v>
      </c>
    </row>
    <row r="552" spans="1:17" x14ac:dyDescent="0.25">
      <c r="A552" s="14" t="s">
        <v>1642</v>
      </c>
      <c r="B552" s="15">
        <v>46222</v>
      </c>
      <c r="C552" s="16" t="s">
        <v>1797</v>
      </c>
      <c r="D552" s="17" t="s">
        <v>1581</v>
      </c>
      <c r="E552" s="15">
        <v>39028</v>
      </c>
      <c r="F552" s="2" t="s">
        <v>27</v>
      </c>
      <c r="G552" s="2" t="s">
        <v>27</v>
      </c>
      <c r="H552" s="2" t="s">
        <v>131</v>
      </c>
      <c r="I552" s="2" t="s">
        <v>1053</v>
      </c>
      <c r="J552" s="2" t="s">
        <v>1052</v>
      </c>
      <c r="K552" s="2" t="s">
        <v>1560</v>
      </c>
      <c r="L552" s="17" t="s">
        <v>1567</v>
      </c>
      <c r="M552" s="5" t="s">
        <v>1574</v>
      </c>
      <c r="N552" s="19" t="s">
        <v>1578</v>
      </c>
      <c r="O552" s="20">
        <f ca="1">DATEDIF(Addmisson[[#This Row],[Student_DOB]],TODAY(),"y")</f>
        <v>19</v>
      </c>
      <c r="P552" s="20" t="str">
        <f>TEXT(Addmisson[[#This Row],[Admission_Date]],"mmmm")</f>
        <v>July</v>
      </c>
      <c r="Q552" s="20">
        <f>YEAR(Addmisson[[#This Row],[Admission_Date]])</f>
        <v>2026</v>
      </c>
    </row>
    <row r="553" spans="1:17" x14ac:dyDescent="0.25">
      <c r="A553" s="14" t="s">
        <v>1643</v>
      </c>
      <c r="B553" s="15">
        <v>46223</v>
      </c>
      <c r="C553" s="16" t="s">
        <v>1798</v>
      </c>
      <c r="D553" s="2" t="s">
        <v>1541</v>
      </c>
      <c r="E553" s="3">
        <v>38578</v>
      </c>
      <c r="F553" s="2" t="s">
        <v>148</v>
      </c>
      <c r="G553" s="2" t="s">
        <v>148</v>
      </c>
      <c r="H553" s="2" t="s">
        <v>148</v>
      </c>
      <c r="I553" s="2" t="s">
        <v>1054</v>
      </c>
      <c r="J553" s="2" t="s">
        <v>1052</v>
      </c>
      <c r="K553" s="17" t="s">
        <v>1564</v>
      </c>
      <c r="L553" s="17" t="s">
        <v>1567</v>
      </c>
      <c r="M553" s="5" t="s">
        <v>1576</v>
      </c>
      <c r="N553" s="19" t="s">
        <v>1578</v>
      </c>
      <c r="O553" s="20">
        <f ca="1">DATEDIF(Addmisson[[#This Row],[Student_DOB]],TODAY(),"y")</f>
        <v>21</v>
      </c>
      <c r="P553" s="20" t="str">
        <f>TEXT(Addmisson[[#This Row],[Admission_Date]],"mmmm")</f>
        <v>July</v>
      </c>
      <c r="Q553" s="20">
        <f>YEAR(Addmisson[[#This Row],[Admission_Date]])</f>
        <v>2026</v>
      </c>
    </row>
    <row r="554" spans="1:17" x14ac:dyDescent="0.25">
      <c r="A554" s="14" t="s">
        <v>1644</v>
      </c>
      <c r="B554" s="15">
        <v>46224</v>
      </c>
      <c r="C554" s="16" t="s">
        <v>1799</v>
      </c>
      <c r="D554" s="2" t="s">
        <v>1542</v>
      </c>
      <c r="E554" s="3">
        <v>39784</v>
      </c>
      <c r="F554" s="2" t="s">
        <v>14</v>
      </c>
      <c r="G554" s="2" t="s">
        <v>14</v>
      </c>
      <c r="H554" s="2" t="s">
        <v>132</v>
      </c>
      <c r="I554" s="2" t="s">
        <v>1055</v>
      </c>
      <c r="J554" s="2" t="s">
        <v>1055</v>
      </c>
      <c r="K554" s="2" t="s">
        <v>1558</v>
      </c>
      <c r="L554" s="17" t="s">
        <v>1567</v>
      </c>
      <c r="M554" s="5" t="s">
        <v>1577</v>
      </c>
      <c r="N554" s="19" t="s">
        <v>1578</v>
      </c>
      <c r="O554" s="20">
        <f ca="1">DATEDIF(Addmisson[[#This Row],[Student_DOB]],TODAY(),"y")</f>
        <v>17</v>
      </c>
      <c r="P554" s="20" t="str">
        <f>TEXT(Addmisson[[#This Row],[Admission_Date]],"mmmm")</f>
        <v>July</v>
      </c>
      <c r="Q554" s="20">
        <f>YEAR(Addmisson[[#This Row],[Admission_Date]])</f>
        <v>2026</v>
      </c>
    </row>
    <row r="555" spans="1:17" x14ac:dyDescent="0.25">
      <c r="A555" s="14" t="s">
        <v>1645</v>
      </c>
      <c r="B555" s="15">
        <v>46225</v>
      </c>
      <c r="C555" s="16" t="s">
        <v>1800</v>
      </c>
      <c r="D555" s="2" t="s">
        <v>1543</v>
      </c>
      <c r="E555" s="15">
        <v>39028</v>
      </c>
      <c r="F555" s="2" t="s">
        <v>127</v>
      </c>
      <c r="G555" s="2" t="s">
        <v>127</v>
      </c>
      <c r="H555" s="2" t="s">
        <v>133</v>
      </c>
      <c r="I555" s="2" t="s">
        <v>16</v>
      </c>
      <c r="J555" s="2" t="s">
        <v>1056</v>
      </c>
      <c r="K555" s="2" t="s">
        <v>1559</v>
      </c>
      <c r="L555" s="17" t="s">
        <v>1567</v>
      </c>
      <c r="M555" s="18" t="s">
        <v>1575</v>
      </c>
      <c r="N555" s="19" t="s">
        <v>1578</v>
      </c>
      <c r="O555" s="20">
        <f ca="1">DATEDIF(Addmisson[[#This Row],[Student_DOB]],TODAY(),"y")</f>
        <v>19</v>
      </c>
      <c r="P555" s="20" t="str">
        <f>TEXT(Addmisson[[#This Row],[Admission_Date]],"mmmm")</f>
        <v>July</v>
      </c>
      <c r="Q555" s="20">
        <f>YEAR(Addmisson[[#This Row],[Admission_Date]])</f>
        <v>2026</v>
      </c>
    </row>
    <row r="556" spans="1:17" x14ac:dyDescent="0.25">
      <c r="A556" s="14" t="s">
        <v>1646</v>
      </c>
      <c r="B556" s="15">
        <v>46226</v>
      </c>
      <c r="C556" s="16" t="s">
        <v>1801</v>
      </c>
      <c r="D556" s="2" t="s">
        <v>1544</v>
      </c>
      <c r="E556" s="3">
        <v>38578</v>
      </c>
      <c r="F556" s="2" t="s">
        <v>138</v>
      </c>
      <c r="G556" s="2" t="s">
        <v>138</v>
      </c>
      <c r="H556" s="2" t="s">
        <v>138</v>
      </c>
      <c r="I556" s="2" t="s">
        <v>1057</v>
      </c>
      <c r="J556" s="2" t="s">
        <v>1058</v>
      </c>
      <c r="K556" s="2" t="s">
        <v>1560</v>
      </c>
      <c r="L556" s="17" t="s">
        <v>1567</v>
      </c>
      <c r="M556" s="5" t="s">
        <v>1570</v>
      </c>
      <c r="N556" s="19" t="s">
        <v>1578</v>
      </c>
      <c r="O556" s="20">
        <f ca="1">DATEDIF(Addmisson[[#This Row],[Student_DOB]],TODAY(),"y")</f>
        <v>21</v>
      </c>
      <c r="P556" s="20" t="str">
        <f>TEXT(Addmisson[[#This Row],[Admission_Date]],"mmmm")</f>
        <v>July</v>
      </c>
      <c r="Q556" s="20">
        <f>YEAR(Addmisson[[#This Row],[Admission_Date]])</f>
        <v>2026</v>
      </c>
    </row>
    <row r="557" spans="1:17" x14ac:dyDescent="0.25">
      <c r="A557" s="14" t="s">
        <v>1647</v>
      </c>
      <c r="B557" s="15">
        <v>46227</v>
      </c>
      <c r="C557" s="16" t="s">
        <v>1802</v>
      </c>
      <c r="D557" s="2" t="s">
        <v>1545</v>
      </c>
      <c r="E557" s="3">
        <v>39053</v>
      </c>
      <c r="F557" s="17" t="s">
        <v>14</v>
      </c>
      <c r="G557" s="17" t="s">
        <v>14</v>
      </c>
      <c r="H557" s="17" t="s">
        <v>15</v>
      </c>
      <c r="I557" s="17" t="s">
        <v>1057</v>
      </c>
      <c r="J557" s="17" t="s">
        <v>1058</v>
      </c>
      <c r="K557" s="17" t="s">
        <v>1564</v>
      </c>
      <c r="L557" s="17" t="s">
        <v>1567</v>
      </c>
      <c r="M557" s="5" t="s">
        <v>1575</v>
      </c>
      <c r="N557" s="19" t="s">
        <v>1578</v>
      </c>
      <c r="O557" s="20">
        <f ca="1">DATEDIF(Addmisson[[#This Row],[Student_DOB]],TODAY(),"y")</f>
        <v>19</v>
      </c>
      <c r="P557" s="20" t="str">
        <f>TEXT(Addmisson[[#This Row],[Admission_Date]],"mmmm")</f>
        <v>July</v>
      </c>
      <c r="Q557" s="20">
        <f>YEAR(Addmisson[[#This Row],[Admission_Date]])</f>
        <v>2026</v>
      </c>
    </row>
    <row r="558" spans="1:17" x14ac:dyDescent="0.25">
      <c r="A558" s="14" t="s">
        <v>1648</v>
      </c>
      <c r="B558" s="15">
        <v>46228</v>
      </c>
      <c r="C558" s="16" t="s">
        <v>1803</v>
      </c>
      <c r="D558" s="2" t="s">
        <v>1546</v>
      </c>
      <c r="E558" s="15">
        <v>39028</v>
      </c>
      <c r="F558" s="2" t="s">
        <v>32</v>
      </c>
      <c r="G558" s="2" t="s">
        <v>32</v>
      </c>
      <c r="H558" s="2" t="s">
        <v>32</v>
      </c>
      <c r="I558" s="2" t="s">
        <v>1051</v>
      </c>
      <c r="J558" s="2" t="s">
        <v>1052</v>
      </c>
      <c r="K558" s="2" t="s">
        <v>1558</v>
      </c>
      <c r="L558" s="17" t="s">
        <v>1567</v>
      </c>
      <c r="M558" s="5" t="s">
        <v>1571</v>
      </c>
      <c r="N558" s="19" t="s">
        <v>1578</v>
      </c>
      <c r="O558" s="20">
        <f ca="1">DATEDIF(Addmisson[[#This Row],[Student_DOB]],TODAY(),"y")</f>
        <v>19</v>
      </c>
      <c r="P558" s="20" t="str">
        <f>TEXT(Addmisson[[#This Row],[Admission_Date]],"mmmm")</f>
        <v>July</v>
      </c>
      <c r="Q558" s="20">
        <f>YEAR(Addmisson[[#This Row],[Admission_Date]])</f>
        <v>2026</v>
      </c>
    </row>
    <row r="559" spans="1:17" x14ac:dyDescent="0.25">
      <c r="A559" s="14" t="s">
        <v>1649</v>
      </c>
      <c r="B559" s="15">
        <v>46229</v>
      </c>
      <c r="C559" s="16" t="s">
        <v>1804</v>
      </c>
      <c r="D559" s="2" t="s">
        <v>1547</v>
      </c>
      <c r="E559" s="3">
        <v>38578</v>
      </c>
      <c r="F559" s="2" t="s">
        <v>129</v>
      </c>
      <c r="G559" s="2" t="s">
        <v>129</v>
      </c>
      <c r="H559" s="2" t="s">
        <v>130</v>
      </c>
      <c r="I559" s="2" t="s">
        <v>1053</v>
      </c>
      <c r="J559" s="2" t="s">
        <v>1052</v>
      </c>
      <c r="K559" s="2" t="s">
        <v>1559</v>
      </c>
      <c r="L559" s="17" t="s">
        <v>1567</v>
      </c>
      <c r="M559" s="5" t="s">
        <v>1572</v>
      </c>
      <c r="N559" s="19" t="s">
        <v>1578</v>
      </c>
      <c r="O559" s="20">
        <f ca="1">DATEDIF(Addmisson[[#This Row],[Student_DOB]],TODAY(),"y")</f>
        <v>21</v>
      </c>
      <c r="P559" s="20" t="str">
        <f>TEXT(Addmisson[[#This Row],[Admission_Date]],"mmmm")</f>
        <v>July</v>
      </c>
      <c r="Q559" s="20">
        <f>YEAR(Addmisson[[#This Row],[Admission_Date]])</f>
        <v>2026</v>
      </c>
    </row>
    <row r="560" spans="1:17" x14ac:dyDescent="0.25">
      <c r="A560" s="14" t="s">
        <v>1650</v>
      </c>
      <c r="B560" s="15">
        <v>46230</v>
      </c>
      <c r="C560" s="16" t="s">
        <v>1805</v>
      </c>
      <c r="D560" s="2" t="s">
        <v>1548</v>
      </c>
      <c r="E560" s="3">
        <v>39053</v>
      </c>
      <c r="F560" s="2" t="s">
        <v>27</v>
      </c>
      <c r="G560" s="2" t="s">
        <v>27</v>
      </c>
      <c r="H560" s="2" t="s">
        <v>131</v>
      </c>
      <c r="I560" s="2" t="s">
        <v>1054</v>
      </c>
      <c r="J560" s="2" t="s">
        <v>1052</v>
      </c>
      <c r="K560" s="2" t="s">
        <v>1560</v>
      </c>
      <c r="L560" s="17" t="s">
        <v>1567</v>
      </c>
      <c r="M560" s="5" t="s">
        <v>1573</v>
      </c>
      <c r="N560" s="19" t="s">
        <v>1578</v>
      </c>
      <c r="O560" s="20">
        <f ca="1">DATEDIF(Addmisson[[#This Row],[Student_DOB]],TODAY(),"y")</f>
        <v>19</v>
      </c>
      <c r="P560" s="20" t="str">
        <f>TEXT(Addmisson[[#This Row],[Admission_Date]],"mmmm")</f>
        <v>July</v>
      </c>
      <c r="Q560" s="20">
        <f>YEAR(Addmisson[[#This Row],[Admission_Date]])</f>
        <v>2026</v>
      </c>
    </row>
    <row r="561" spans="1:17" x14ac:dyDescent="0.25">
      <c r="A561" s="14" t="s">
        <v>1651</v>
      </c>
      <c r="B561" s="15">
        <v>46231</v>
      </c>
      <c r="C561" s="16" t="s">
        <v>1806</v>
      </c>
      <c r="D561" s="2" t="s">
        <v>1549</v>
      </c>
      <c r="E561" s="15">
        <v>39759</v>
      </c>
      <c r="F561" s="2" t="s">
        <v>148</v>
      </c>
      <c r="G561" s="2" t="s">
        <v>148</v>
      </c>
      <c r="H561" s="2" t="s">
        <v>148</v>
      </c>
      <c r="I561" s="2" t="s">
        <v>1055</v>
      </c>
      <c r="J561" s="2" t="s">
        <v>1055</v>
      </c>
      <c r="K561" s="17" t="s">
        <v>1564</v>
      </c>
      <c r="L561" s="17" t="s">
        <v>1567</v>
      </c>
      <c r="M561" s="5" t="s">
        <v>1574</v>
      </c>
      <c r="N561" s="19" t="s">
        <v>1578</v>
      </c>
      <c r="O561" s="20">
        <f ca="1">DATEDIF(Addmisson[[#This Row],[Student_DOB]],TODAY(),"y")</f>
        <v>17</v>
      </c>
      <c r="P561" s="20" t="str">
        <f>TEXT(Addmisson[[#This Row],[Admission_Date]],"mmmm")</f>
        <v>July</v>
      </c>
      <c r="Q561" s="20">
        <f>YEAR(Addmisson[[#This Row],[Admission_Date]])</f>
        <v>2026</v>
      </c>
    </row>
    <row r="562" spans="1:17" x14ac:dyDescent="0.25">
      <c r="A562" s="14" t="s">
        <v>1652</v>
      </c>
      <c r="B562" s="15">
        <v>46232</v>
      </c>
      <c r="C562" s="16" t="s">
        <v>1807</v>
      </c>
      <c r="D562" s="2" t="s">
        <v>1550</v>
      </c>
      <c r="E562" s="3">
        <v>38578</v>
      </c>
      <c r="F562" s="2" t="s">
        <v>14</v>
      </c>
      <c r="G562" s="2" t="s">
        <v>14</v>
      </c>
      <c r="H562" s="2" t="s">
        <v>132</v>
      </c>
      <c r="I562" s="2" t="s">
        <v>16</v>
      </c>
      <c r="J562" s="2" t="s">
        <v>1056</v>
      </c>
      <c r="K562" s="2" t="s">
        <v>1558</v>
      </c>
      <c r="L562" s="17" t="s">
        <v>1567</v>
      </c>
      <c r="M562" s="5" t="s">
        <v>1576</v>
      </c>
      <c r="N562" s="19" t="s">
        <v>1578</v>
      </c>
      <c r="O562" s="20">
        <f ca="1">DATEDIF(Addmisson[[#This Row],[Student_DOB]],TODAY(),"y")</f>
        <v>21</v>
      </c>
      <c r="P562" s="20" t="str">
        <f>TEXT(Addmisson[[#This Row],[Admission_Date]],"mmmm")</f>
        <v>July</v>
      </c>
      <c r="Q562" s="20">
        <f>YEAR(Addmisson[[#This Row],[Admission_Date]])</f>
        <v>2026</v>
      </c>
    </row>
    <row r="563" spans="1:17" x14ac:dyDescent="0.25">
      <c r="A563" s="14" t="s">
        <v>1653</v>
      </c>
      <c r="B563" s="15">
        <v>46233</v>
      </c>
      <c r="C563" s="16" t="s">
        <v>1808</v>
      </c>
      <c r="D563" s="2" t="s">
        <v>1551</v>
      </c>
      <c r="E563" s="3">
        <v>39053</v>
      </c>
      <c r="F563" s="2" t="s">
        <v>127</v>
      </c>
      <c r="G563" s="2" t="s">
        <v>127</v>
      </c>
      <c r="H563" s="2" t="s">
        <v>133</v>
      </c>
      <c r="I563" s="2" t="s">
        <v>1057</v>
      </c>
      <c r="J563" s="2" t="s">
        <v>1058</v>
      </c>
      <c r="K563" s="2" t="s">
        <v>1559</v>
      </c>
      <c r="L563" s="17" t="s">
        <v>1567</v>
      </c>
      <c r="M563" s="5" t="s">
        <v>1577</v>
      </c>
      <c r="N563" s="19" t="s">
        <v>1578</v>
      </c>
      <c r="O563" s="20">
        <f ca="1">DATEDIF(Addmisson[[#This Row],[Student_DOB]],TODAY(),"y")</f>
        <v>19</v>
      </c>
      <c r="P563" s="20" t="str">
        <f>TEXT(Addmisson[[#This Row],[Admission_Date]],"mmmm")</f>
        <v>July</v>
      </c>
      <c r="Q563" s="20">
        <f>YEAR(Addmisson[[#This Row],[Admission_Date]])</f>
        <v>2026</v>
      </c>
    </row>
    <row r="564" spans="1:17" x14ac:dyDescent="0.25">
      <c r="A564" s="14" t="s">
        <v>1654</v>
      </c>
      <c r="B564" s="15">
        <v>46234</v>
      </c>
      <c r="C564" s="16" t="s">
        <v>1809</v>
      </c>
      <c r="D564" s="2" t="s">
        <v>1552</v>
      </c>
      <c r="E564" s="15">
        <v>40124</v>
      </c>
      <c r="F564" s="2" t="s">
        <v>138</v>
      </c>
      <c r="G564" s="2" t="s">
        <v>138</v>
      </c>
      <c r="H564" s="2" t="s">
        <v>138</v>
      </c>
      <c r="I564" s="17" t="s">
        <v>1057</v>
      </c>
      <c r="J564" s="17" t="s">
        <v>1058</v>
      </c>
      <c r="K564" s="2" t="s">
        <v>1560</v>
      </c>
      <c r="L564" s="17" t="s">
        <v>1567</v>
      </c>
      <c r="M564" s="18" t="s">
        <v>1575</v>
      </c>
      <c r="N564" s="19" t="s">
        <v>1578</v>
      </c>
      <c r="O564" s="20">
        <f ca="1">DATEDIF(Addmisson[[#This Row],[Student_DOB]],TODAY(),"y")</f>
        <v>16</v>
      </c>
      <c r="P564" s="20" t="str">
        <f>TEXT(Addmisson[[#This Row],[Admission_Date]],"mmmm")</f>
        <v>July</v>
      </c>
      <c r="Q564" s="20">
        <f>YEAR(Addmisson[[#This Row],[Admission_Date]])</f>
        <v>2026</v>
      </c>
    </row>
    <row r="565" spans="1:17" x14ac:dyDescent="0.25">
      <c r="A565" s="14" t="s">
        <v>1655</v>
      </c>
      <c r="B565" s="15">
        <v>46235</v>
      </c>
      <c r="C565" s="16" t="s">
        <v>1810</v>
      </c>
      <c r="D565" s="2" t="s">
        <v>1553</v>
      </c>
      <c r="E565" s="3">
        <v>38578</v>
      </c>
      <c r="F565" s="17" t="s">
        <v>14</v>
      </c>
      <c r="G565" s="17" t="s">
        <v>14</v>
      </c>
      <c r="H565" s="17" t="s">
        <v>15</v>
      </c>
      <c r="I565" s="2" t="s">
        <v>1051</v>
      </c>
      <c r="J565" s="2" t="s">
        <v>1052</v>
      </c>
      <c r="K565" s="17" t="s">
        <v>1564</v>
      </c>
      <c r="L565" s="17" t="s">
        <v>1567</v>
      </c>
      <c r="M565" s="5" t="s">
        <v>1570</v>
      </c>
      <c r="N565" s="19" t="s">
        <v>1578</v>
      </c>
      <c r="O565" s="20">
        <f ca="1">DATEDIF(Addmisson[[#This Row],[Student_DOB]],TODAY(),"y")</f>
        <v>21</v>
      </c>
      <c r="P565" s="20" t="str">
        <f>TEXT(Addmisson[[#This Row],[Admission_Date]],"mmmm")</f>
        <v>August</v>
      </c>
      <c r="Q565" s="20">
        <f>YEAR(Addmisson[[#This Row],[Admission_Date]])</f>
        <v>2026</v>
      </c>
    </row>
    <row r="566" spans="1:17" x14ac:dyDescent="0.25">
      <c r="A566" s="14" t="s">
        <v>1656</v>
      </c>
      <c r="B566" s="15">
        <v>46236</v>
      </c>
      <c r="C566" s="16" t="s">
        <v>1811</v>
      </c>
      <c r="D566" s="2" t="s">
        <v>1554</v>
      </c>
      <c r="E566" s="3">
        <v>39053</v>
      </c>
      <c r="F566" s="2" t="s">
        <v>32</v>
      </c>
      <c r="G566" s="2" t="s">
        <v>32</v>
      </c>
      <c r="H566" s="2" t="s">
        <v>32</v>
      </c>
      <c r="I566" s="2" t="s">
        <v>1053</v>
      </c>
      <c r="J566" s="2" t="s">
        <v>1052</v>
      </c>
      <c r="K566" s="2" t="s">
        <v>1558</v>
      </c>
      <c r="L566" s="17" t="s">
        <v>1567</v>
      </c>
      <c r="M566" s="5" t="s">
        <v>1575</v>
      </c>
      <c r="N566" s="19" t="s">
        <v>1578</v>
      </c>
      <c r="O566" s="20">
        <f ca="1">DATEDIF(Addmisson[[#This Row],[Student_DOB]],TODAY(),"y")</f>
        <v>19</v>
      </c>
      <c r="P566" s="20" t="str">
        <f>TEXT(Addmisson[[#This Row],[Admission_Date]],"mmmm")</f>
        <v>August</v>
      </c>
      <c r="Q566" s="20">
        <f>YEAR(Addmisson[[#This Row],[Admission_Date]])</f>
        <v>2026</v>
      </c>
    </row>
    <row r="567" spans="1:17" x14ac:dyDescent="0.25">
      <c r="A567" s="14" t="s">
        <v>1657</v>
      </c>
      <c r="B567" s="15">
        <v>46237</v>
      </c>
      <c r="C567" s="16" t="s">
        <v>1812</v>
      </c>
      <c r="D567" s="2" t="s">
        <v>1555</v>
      </c>
      <c r="E567" s="15">
        <v>39028</v>
      </c>
      <c r="F567" s="2" t="s">
        <v>129</v>
      </c>
      <c r="G567" s="2" t="s">
        <v>129</v>
      </c>
      <c r="H567" s="2" t="s">
        <v>130</v>
      </c>
      <c r="I567" s="2" t="s">
        <v>1054</v>
      </c>
      <c r="J567" s="2" t="s">
        <v>1052</v>
      </c>
      <c r="K567" s="2" t="s">
        <v>1559</v>
      </c>
      <c r="L567" s="17" t="s">
        <v>1567</v>
      </c>
      <c r="M567" s="5" t="s">
        <v>1571</v>
      </c>
      <c r="N567" s="19" t="s">
        <v>1578</v>
      </c>
      <c r="O567" s="20">
        <f ca="1">DATEDIF(Addmisson[[#This Row],[Student_DOB]],TODAY(),"y")</f>
        <v>19</v>
      </c>
      <c r="P567" s="20" t="str">
        <f>TEXT(Addmisson[[#This Row],[Admission_Date]],"mmmm")</f>
        <v>August</v>
      </c>
      <c r="Q567" s="20">
        <f>YEAR(Addmisson[[#This Row],[Admission_Date]])</f>
        <v>2026</v>
      </c>
    </row>
    <row r="568" spans="1:17" x14ac:dyDescent="0.25">
      <c r="A568" s="14" t="s">
        <v>1658</v>
      </c>
      <c r="B568" s="15">
        <v>46238</v>
      </c>
      <c r="C568" s="16" t="s">
        <v>1813</v>
      </c>
      <c r="D568" s="2" t="s">
        <v>1556</v>
      </c>
      <c r="E568" s="3">
        <v>38578</v>
      </c>
      <c r="F568" s="2" t="s">
        <v>27</v>
      </c>
      <c r="G568" s="2" t="s">
        <v>27</v>
      </c>
      <c r="H568" s="2" t="s">
        <v>131</v>
      </c>
      <c r="I568" s="2" t="s">
        <v>1055</v>
      </c>
      <c r="J568" s="2" t="s">
        <v>1055</v>
      </c>
      <c r="K568" s="2" t="s">
        <v>1560</v>
      </c>
      <c r="L568" s="17" t="s">
        <v>1567</v>
      </c>
      <c r="M568" s="5" t="s">
        <v>1572</v>
      </c>
      <c r="N568" s="19" t="s">
        <v>1578</v>
      </c>
      <c r="O568" s="20">
        <f ca="1">DATEDIF(Addmisson[[#This Row],[Student_DOB]],TODAY(),"y")</f>
        <v>21</v>
      </c>
      <c r="P568" s="20" t="str">
        <f>TEXT(Addmisson[[#This Row],[Admission_Date]],"mmmm")</f>
        <v>August</v>
      </c>
      <c r="Q568" s="20">
        <f>YEAR(Addmisson[[#This Row],[Admission_Date]])</f>
        <v>2026</v>
      </c>
    </row>
    <row r="569" spans="1:17" x14ac:dyDescent="0.25">
      <c r="A569" s="14" t="s">
        <v>1659</v>
      </c>
      <c r="B569" s="15">
        <v>46239</v>
      </c>
      <c r="C569" s="16" t="s">
        <v>1814</v>
      </c>
      <c r="D569" s="17" t="s">
        <v>1581</v>
      </c>
      <c r="E569" s="3">
        <v>39053</v>
      </c>
      <c r="F569" s="2" t="s">
        <v>148</v>
      </c>
      <c r="G569" s="2" t="s">
        <v>148</v>
      </c>
      <c r="H569" s="2" t="s">
        <v>148</v>
      </c>
      <c r="I569" s="2" t="s">
        <v>16</v>
      </c>
      <c r="J569" s="2" t="s">
        <v>1056</v>
      </c>
      <c r="K569" s="17" t="s">
        <v>1564</v>
      </c>
      <c r="L569" s="17" t="s">
        <v>1567</v>
      </c>
      <c r="M569" s="5" t="s">
        <v>1573</v>
      </c>
      <c r="N569" s="19" t="s">
        <v>1578</v>
      </c>
      <c r="O569" s="20">
        <f ca="1">DATEDIF(Addmisson[[#This Row],[Student_DOB]],TODAY(),"y")</f>
        <v>19</v>
      </c>
      <c r="P569" s="20" t="str">
        <f>TEXT(Addmisson[[#This Row],[Admission_Date]],"mmmm")</f>
        <v>August</v>
      </c>
      <c r="Q569" s="20">
        <f>YEAR(Addmisson[[#This Row],[Admission_Date]])</f>
        <v>2026</v>
      </c>
    </row>
    <row r="570" spans="1:17" x14ac:dyDescent="0.25">
      <c r="A570" s="14" t="s">
        <v>1660</v>
      </c>
      <c r="B570" s="15">
        <v>46240</v>
      </c>
      <c r="C570" s="16" t="s">
        <v>1815</v>
      </c>
      <c r="D570" s="2" t="s">
        <v>1541</v>
      </c>
      <c r="E570" s="15">
        <v>39759</v>
      </c>
      <c r="F570" s="2" t="s">
        <v>14</v>
      </c>
      <c r="G570" s="2" t="s">
        <v>14</v>
      </c>
      <c r="H570" s="2" t="s">
        <v>132</v>
      </c>
      <c r="I570" s="2" t="s">
        <v>1057</v>
      </c>
      <c r="J570" s="2" t="s">
        <v>1058</v>
      </c>
      <c r="K570" s="2" t="s">
        <v>1558</v>
      </c>
      <c r="L570" s="17" t="s">
        <v>1567</v>
      </c>
      <c r="M570" s="5" t="s">
        <v>1574</v>
      </c>
      <c r="N570" s="19" t="s">
        <v>1578</v>
      </c>
      <c r="O570" s="20">
        <f ca="1">DATEDIF(Addmisson[[#This Row],[Student_DOB]],TODAY(),"y")</f>
        <v>17</v>
      </c>
      <c r="P570" s="20" t="str">
        <f>TEXT(Addmisson[[#This Row],[Admission_Date]],"mmmm")</f>
        <v>August</v>
      </c>
      <c r="Q570" s="20">
        <f>YEAR(Addmisson[[#This Row],[Admission_Date]])</f>
        <v>2026</v>
      </c>
    </row>
    <row r="571" spans="1:17" x14ac:dyDescent="0.25">
      <c r="A571" s="14" t="s">
        <v>1661</v>
      </c>
      <c r="B571" s="15">
        <v>46241</v>
      </c>
      <c r="C571" s="16" t="s">
        <v>1816</v>
      </c>
      <c r="D571" s="2" t="s">
        <v>1542</v>
      </c>
      <c r="E571" s="3">
        <v>38578</v>
      </c>
      <c r="F571" s="2" t="s">
        <v>127</v>
      </c>
      <c r="G571" s="2" t="s">
        <v>127</v>
      </c>
      <c r="H571" s="2" t="s">
        <v>133</v>
      </c>
      <c r="I571" s="17" t="s">
        <v>1057</v>
      </c>
      <c r="J571" s="17" t="s">
        <v>1058</v>
      </c>
      <c r="K571" s="2" t="s">
        <v>1559</v>
      </c>
      <c r="L571" s="17" t="s">
        <v>1567</v>
      </c>
      <c r="M571" s="5" t="s">
        <v>1576</v>
      </c>
      <c r="N571" s="19" t="s">
        <v>1578</v>
      </c>
      <c r="O571" s="20">
        <f ca="1">DATEDIF(Addmisson[[#This Row],[Student_DOB]],TODAY(),"y")</f>
        <v>21</v>
      </c>
      <c r="P571" s="20" t="str">
        <f>TEXT(Addmisson[[#This Row],[Admission_Date]],"mmmm")</f>
        <v>August</v>
      </c>
      <c r="Q571" s="20">
        <f>YEAR(Addmisson[[#This Row],[Admission_Date]])</f>
        <v>2026</v>
      </c>
    </row>
    <row r="572" spans="1:17" x14ac:dyDescent="0.25">
      <c r="A572" s="14" t="s">
        <v>1662</v>
      </c>
      <c r="B572" s="15">
        <v>46242</v>
      </c>
      <c r="C572" s="16" t="s">
        <v>1817</v>
      </c>
      <c r="D572" s="2" t="s">
        <v>1543</v>
      </c>
      <c r="E572" s="3">
        <v>39053</v>
      </c>
      <c r="F572" s="2" t="s">
        <v>138</v>
      </c>
      <c r="G572" s="2" t="s">
        <v>138</v>
      </c>
      <c r="H572" s="2" t="s">
        <v>138</v>
      </c>
      <c r="I572" s="2" t="s">
        <v>1051</v>
      </c>
      <c r="J572" s="2" t="s">
        <v>1052</v>
      </c>
      <c r="K572" s="2" t="s">
        <v>1560</v>
      </c>
      <c r="L572" s="17" t="s">
        <v>1567</v>
      </c>
      <c r="M572" s="5" t="s">
        <v>1577</v>
      </c>
      <c r="N572" s="19" t="s">
        <v>1578</v>
      </c>
      <c r="O572" s="20">
        <f ca="1">DATEDIF(Addmisson[[#This Row],[Student_DOB]],TODAY(),"y")</f>
        <v>19</v>
      </c>
      <c r="P572" s="20" t="str">
        <f>TEXT(Addmisson[[#This Row],[Admission_Date]],"mmmm")</f>
        <v>August</v>
      </c>
      <c r="Q572" s="20">
        <f>YEAR(Addmisson[[#This Row],[Admission_Date]])</f>
        <v>2026</v>
      </c>
    </row>
    <row r="573" spans="1:17" x14ac:dyDescent="0.25">
      <c r="A573" s="14" t="s">
        <v>1663</v>
      </c>
      <c r="B573" s="15">
        <v>46243</v>
      </c>
      <c r="C573" s="16" t="s">
        <v>1818</v>
      </c>
      <c r="D573" s="2" t="s">
        <v>1544</v>
      </c>
      <c r="E573" s="15">
        <v>39028</v>
      </c>
      <c r="F573" s="17" t="s">
        <v>14</v>
      </c>
      <c r="G573" s="17" t="s">
        <v>14</v>
      </c>
      <c r="H573" s="17" t="s">
        <v>15</v>
      </c>
      <c r="I573" s="2" t="s">
        <v>1053</v>
      </c>
      <c r="J573" s="2" t="s">
        <v>1052</v>
      </c>
      <c r="K573" s="17" t="s">
        <v>1564</v>
      </c>
      <c r="L573" s="17" t="s">
        <v>1567</v>
      </c>
      <c r="M573" s="18" t="s">
        <v>1575</v>
      </c>
      <c r="N573" s="19" t="s">
        <v>1578</v>
      </c>
      <c r="O573" s="20">
        <f ca="1">DATEDIF(Addmisson[[#This Row],[Student_DOB]],TODAY(),"y")</f>
        <v>19</v>
      </c>
      <c r="P573" s="20" t="str">
        <f>TEXT(Addmisson[[#This Row],[Admission_Date]],"mmmm")</f>
        <v>August</v>
      </c>
      <c r="Q573" s="20">
        <f>YEAR(Addmisson[[#This Row],[Admission_Date]])</f>
        <v>2026</v>
      </c>
    </row>
    <row r="574" spans="1:17" x14ac:dyDescent="0.25">
      <c r="A574" s="14" t="s">
        <v>1664</v>
      </c>
      <c r="B574" s="15">
        <v>46244</v>
      </c>
      <c r="C574" s="16" t="s">
        <v>1819</v>
      </c>
      <c r="D574" s="2" t="s">
        <v>1545</v>
      </c>
      <c r="E574" s="3">
        <v>39674</v>
      </c>
      <c r="F574" s="2" t="s">
        <v>32</v>
      </c>
      <c r="G574" s="2" t="s">
        <v>32</v>
      </c>
      <c r="H574" s="2" t="s">
        <v>32</v>
      </c>
      <c r="I574" s="2" t="s">
        <v>1054</v>
      </c>
      <c r="J574" s="2" t="s">
        <v>1052</v>
      </c>
      <c r="K574" s="2" t="s">
        <v>1558</v>
      </c>
      <c r="L574" s="17" t="s">
        <v>1567</v>
      </c>
      <c r="M574" s="5" t="s">
        <v>1570</v>
      </c>
      <c r="N574" s="19" t="s">
        <v>1578</v>
      </c>
      <c r="O574" s="20">
        <f ca="1">DATEDIF(Addmisson[[#This Row],[Student_DOB]],TODAY(),"y")</f>
        <v>18</v>
      </c>
      <c r="P574" s="20" t="str">
        <f>TEXT(Addmisson[[#This Row],[Admission_Date]],"mmmm")</f>
        <v>August</v>
      </c>
      <c r="Q574" s="20">
        <f>YEAR(Addmisson[[#This Row],[Admission_Date]])</f>
        <v>2026</v>
      </c>
    </row>
    <row r="575" spans="1:17" x14ac:dyDescent="0.25">
      <c r="A575" s="14" t="s">
        <v>1665</v>
      </c>
      <c r="B575" s="15">
        <v>46245</v>
      </c>
      <c r="C575" s="16" t="s">
        <v>1820</v>
      </c>
      <c r="D575" s="2" t="s">
        <v>1546</v>
      </c>
      <c r="E575" s="3">
        <v>39053</v>
      </c>
      <c r="F575" s="2" t="s">
        <v>129</v>
      </c>
      <c r="G575" s="2" t="s">
        <v>129</v>
      </c>
      <c r="H575" s="2" t="s">
        <v>130</v>
      </c>
      <c r="I575" s="2" t="s">
        <v>1055</v>
      </c>
      <c r="J575" s="2" t="s">
        <v>1055</v>
      </c>
      <c r="K575" s="2" t="s">
        <v>1559</v>
      </c>
      <c r="L575" s="17" t="s">
        <v>1567</v>
      </c>
      <c r="M575" s="5" t="s">
        <v>1575</v>
      </c>
      <c r="N575" s="19" t="s">
        <v>1578</v>
      </c>
      <c r="O575" s="20">
        <f ca="1">DATEDIF(Addmisson[[#This Row],[Student_DOB]],TODAY(),"y")</f>
        <v>19</v>
      </c>
      <c r="P575" s="20" t="str">
        <f>TEXT(Addmisson[[#This Row],[Admission_Date]],"mmmm")</f>
        <v>August</v>
      </c>
      <c r="Q575" s="20">
        <f>YEAR(Addmisson[[#This Row],[Admission_Date]])</f>
        <v>2026</v>
      </c>
    </row>
    <row r="576" spans="1:17" x14ac:dyDescent="0.25">
      <c r="A576" s="14" t="s">
        <v>1666</v>
      </c>
      <c r="B576" s="15">
        <v>46246</v>
      </c>
      <c r="C576" s="16" t="s">
        <v>1821</v>
      </c>
      <c r="D576" s="2" t="s">
        <v>1547</v>
      </c>
      <c r="E576" s="15">
        <v>39028</v>
      </c>
      <c r="F576" s="2" t="s">
        <v>27</v>
      </c>
      <c r="G576" s="2" t="s">
        <v>27</v>
      </c>
      <c r="H576" s="2" t="s">
        <v>131</v>
      </c>
      <c r="I576" s="2" t="s">
        <v>16</v>
      </c>
      <c r="J576" s="2" t="s">
        <v>1056</v>
      </c>
      <c r="K576" s="2" t="s">
        <v>1560</v>
      </c>
      <c r="L576" s="17" t="s">
        <v>1567</v>
      </c>
      <c r="M576" s="5" t="s">
        <v>1571</v>
      </c>
      <c r="N576" s="19" t="s">
        <v>1578</v>
      </c>
      <c r="O576" s="20">
        <f ca="1">DATEDIF(Addmisson[[#This Row],[Student_DOB]],TODAY(),"y")</f>
        <v>19</v>
      </c>
      <c r="P576" s="20" t="str">
        <f>TEXT(Addmisson[[#This Row],[Admission_Date]],"mmmm")</f>
        <v>August</v>
      </c>
      <c r="Q576" s="20">
        <f>YEAR(Addmisson[[#This Row],[Admission_Date]])</f>
        <v>2026</v>
      </c>
    </row>
    <row r="577" spans="1:17" x14ac:dyDescent="0.25">
      <c r="A577" s="14" t="s">
        <v>1667</v>
      </c>
      <c r="B577" s="15">
        <v>46247</v>
      </c>
      <c r="C577" s="16" t="s">
        <v>1822</v>
      </c>
      <c r="D577" s="2" t="s">
        <v>1548</v>
      </c>
      <c r="E577" s="3">
        <v>38578</v>
      </c>
      <c r="F577" s="2" t="s">
        <v>148</v>
      </c>
      <c r="G577" s="2" t="s">
        <v>148</v>
      </c>
      <c r="H577" s="2" t="s">
        <v>148</v>
      </c>
      <c r="I577" s="2" t="s">
        <v>1057</v>
      </c>
      <c r="J577" s="2" t="s">
        <v>1058</v>
      </c>
      <c r="K577" s="17" t="s">
        <v>1564</v>
      </c>
      <c r="L577" s="17" t="s">
        <v>1567</v>
      </c>
      <c r="M577" s="5" t="s">
        <v>1572</v>
      </c>
      <c r="N577" s="19" t="s">
        <v>1578</v>
      </c>
      <c r="O577" s="20">
        <f ca="1">DATEDIF(Addmisson[[#This Row],[Student_DOB]],TODAY(),"y")</f>
        <v>21</v>
      </c>
      <c r="P577" s="20" t="str">
        <f>TEXT(Addmisson[[#This Row],[Admission_Date]],"mmmm")</f>
        <v>August</v>
      </c>
      <c r="Q577" s="20">
        <f>YEAR(Addmisson[[#This Row],[Admission_Date]])</f>
        <v>2026</v>
      </c>
    </row>
    <row r="578" spans="1:17" x14ac:dyDescent="0.25">
      <c r="A578" s="14" t="s">
        <v>1668</v>
      </c>
      <c r="B578" s="15">
        <v>46248</v>
      </c>
      <c r="C578" s="16" t="s">
        <v>1823</v>
      </c>
      <c r="D578" s="2" t="s">
        <v>1549</v>
      </c>
      <c r="E578" s="3">
        <v>39053</v>
      </c>
      <c r="F578" s="2" t="s">
        <v>14</v>
      </c>
      <c r="G578" s="2" t="s">
        <v>14</v>
      </c>
      <c r="H578" s="2" t="s">
        <v>132</v>
      </c>
      <c r="I578" s="17" t="s">
        <v>1057</v>
      </c>
      <c r="J578" s="17" t="s">
        <v>1058</v>
      </c>
      <c r="K578" s="2" t="s">
        <v>1558</v>
      </c>
      <c r="L578" s="17" t="s">
        <v>1567</v>
      </c>
      <c r="M578" s="5" t="s">
        <v>1573</v>
      </c>
      <c r="N578" s="19" t="s">
        <v>1578</v>
      </c>
      <c r="O578" s="20">
        <f ca="1">DATEDIF(Addmisson[[#This Row],[Student_DOB]],TODAY(),"y")</f>
        <v>19</v>
      </c>
      <c r="P578" s="20" t="str">
        <f>TEXT(Addmisson[[#This Row],[Admission_Date]],"mmmm")</f>
        <v>August</v>
      </c>
      <c r="Q578" s="20">
        <f>YEAR(Addmisson[[#This Row],[Admission_Date]])</f>
        <v>2026</v>
      </c>
    </row>
    <row r="579" spans="1:17" x14ac:dyDescent="0.25">
      <c r="A579" s="14" t="s">
        <v>1669</v>
      </c>
      <c r="B579" s="15">
        <v>46249</v>
      </c>
      <c r="C579" s="16" t="s">
        <v>1824</v>
      </c>
      <c r="D579" s="2" t="s">
        <v>1550</v>
      </c>
      <c r="E579" s="15">
        <v>39028</v>
      </c>
      <c r="F579" s="2" t="s">
        <v>127</v>
      </c>
      <c r="G579" s="2" t="s">
        <v>127</v>
      </c>
      <c r="H579" s="2" t="s">
        <v>133</v>
      </c>
      <c r="I579" s="2" t="s">
        <v>1051</v>
      </c>
      <c r="J579" s="2" t="s">
        <v>1052</v>
      </c>
      <c r="K579" s="2" t="s">
        <v>1559</v>
      </c>
      <c r="L579" s="17" t="s">
        <v>1567</v>
      </c>
      <c r="M579" s="5" t="s">
        <v>1574</v>
      </c>
      <c r="N579" s="19" t="s">
        <v>1578</v>
      </c>
      <c r="O579" s="20">
        <f ca="1">DATEDIF(Addmisson[[#This Row],[Student_DOB]],TODAY(),"y")</f>
        <v>19</v>
      </c>
      <c r="P579" s="20" t="str">
        <f>TEXT(Addmisson[[#This Row],[Admission_Date]],"mmmm")</f>
        <v>August</v>
      </c>
      <c r="Q579" s="20">
        <f>YEAR(Addmisson[[#This Row],[Admission_Date]])</f>
        <v>2026</v>
      </c>
    </row>
    <row r="580" spans="1:17" x14ac:dyDescent="0.25">
      <c r="A580" s="14" t="s">
        <v>1670</v>
      </c>
      <c r="B580" s="15">
        <v>46250</v>
      </c>
      <c r="C580" s="16" t="s">
        <v>1825</v>
      </c>
      <c r="D580" s="2" t="s">
        <v>1551</v>
      </c>
      <c r="E580" s="3">
        <v>38578</v>
      </c>
      <c r="F580" s="2" t="s">
        <v>138</v>
      </c>
      <c r="G580" s="2" t="s">
        <v>138</v>
      </c>
      <c r="H580" s="2" t="s">
        <v>138</v>
      </c>
      <c r="I580" s="2" t="s">
        <v>1053</v>
      </c>
      <c r="J580" s="2" t="s">
        <v>1052</v>
      </c>
      <c r="K580" s="2" t="s">
        <v>1560</v>
      </c>
      <c r="L580" s="17" t="s">
        <v>1567</v>
      </c>
      <c r="M580" s="5" t="s">
        <v>1576</v>
      </c>
      <c r="N580" s="19" t="s">
        <v>1578</v>
      </c>
      <c r="O580" s="20">
        <f ca="1">DATEDIF(Addmisson[[#This Row],[Student_DOB]],TODAY(),"y")</f>
        <v>21</v>
      </c>
      <c r="P580" s="20" t="str">
        <f>TEXT(Addmisson[[#This Row],[Admission_Date]],"mmmm")</f>
        <v>August</v>
      </c>
      <c r="Q580" s="20">
        <f>YEAR(Addmisson[[#This Row],[Admission_Date]])</f>
        <v>2026</v>
      </c>
    </row>
    <row r="581" spans="1:17" x14ac:dyDescent="0.25">
      <c r="A581" s="14" t="s">
        <v>1671</v>
      </c>
      <c r="B581" s="15">
        <v>46251</v>
      </c>
      <c r="C581" s="16" t="s">
        <v>1826</v>
      </c>
      <c r="D581" s="2" t="s">
        <v>1552</v>
      </c>
      <c r="E581" s="3">
        <v>39053</v>
      </c>
      <c r="F581" s="17" t="s">
        <v>14</v>
      </c>
      <c r="G581" s="17" t="s">
        <v>14</v>
      </c>
      <c r="H581" s="17" t="s">
        <v>15</v>
      </c>
      <c r="I581" s="2" t="s">
        <v>1054</v>
      </c>
      <c r="J581" s="2" t="s">
        <v>1052</v>
      </c>
      <c r="K581" s="17" t="s">
        <v>1564</v>
      </c>
      <c r="L581" s="17" t="s">
        <v>1567</v>
      </c>
      <c r="M581" s="5" t="s">
        <v>1577</v>
      </c>
      <c r="N581" s="19" t="s">
        <v>1578</v>
      </c>
      <c r="O581" s="20">
        <f ca="1">DATEDIF(Addmisson[[#This Row],[Student_DOB]],TODAY(),"y")</f>
        <v>19</v>
      </c>
      <c r="P581" s="20" t="str">
        <f>TEXT(Addmisson[[#This Row],[Admission_Date]],"mmmm")</f>
        <v>August</v>
      </c>
      <c r="Q581" s="20">
        <f>YEAR(Addmisson[[#This Row],[Admission_Date]])</f>
        <v>2026</v>
      </c>
    </row>
    <row r="582" spans="1:17" x14ac:dyDescent="0.25">
      <c r="A582" s="14" t="s">
        <v>1672</v>
      </c>
      <c r="B582" s="15">
        <v>46252</v>
      </c>
      <c r="C582" s="16" t="s">
        <v>1827</v>
      </c>
      <c r="D582" s="2" t="s">
        <v>1553</v>
      </c>
      <c r="E582" s="15">
        <v>39028</v>
      </c>
      <c r="F582" s="2" t="s">
        <v>32</v>
      </c>
      <c r="G582" s="2" t="s">
        <v>32</v>
      </c>
      <c r="H582" s="2" t="s">
        <v>32</v>
      </c>
      <c r="I582" s="2" t="s">
        <v>1055</v>
      </c>
      <c r="J582" s="2" t="s">
        <v>1055</v>
      </c>
      <c r="K582" s="2" t="s">
        <v>1558</v>
      </c>
      <c r="L582" s="17" t="s">
        <v>1567</v>
      </c>
      <c r="M582" s="18" t="s">
        <v>1575</v>
      </c>
      <c r="N582" s="19" t="s">
        <v>1578</v>
      </c>
      <c r="O582" s="20">
        <f ca="1">DATEDIF(Addmisson[[#This Row],[Student_DOB]],TODAY(),"y")</f>
        <v>19</v>
      </c>
      <c r="P582" s="20" t="str">
        <f>TEXT(Addmisson[[#This Row],[Admission_Date]],"mmmm")</f>
        <v>August</v>
      </c>
      <c r="Q582" s="20">
        <f>YEAR(Addmisson[[#This Row],[Admission_Date]])</f>
        <v>2026</v>
      </c>
    </row>
    <row r="583" spans="1:17" x14ac:dyDescent="0.25">
      <c r="A583" s="14" t="s">
        <v>1673</v>
      </c>
      <c r="B583" s="15">
        <v>46253</v>
      </c>
      <c r="C583" s="16" t="s">
        <v>1828</v>
      </c>
      <c r="D583" s="2" t="s">
        <v>1554</v>
      </c>
      <c r="E583" s="3">
        <v>39308</v>
      </c>
      <c r="F583" s="2" t="s">
        <v>129</v>
      </c>
      <c r="G583" s="2" t="s">
        <v>129</v>
      </c>
      <c r="H583" s="2" t="s">
        <v>130</v>
      </c>
      <c r="I583" s="2" t="s">
        <v>16</v>
      </c>
      <c r="J583" s="2" t="s">
        <v>1056</v>
      </c>
      <c r="K583" s="2" t="s">
        <v>1559</v>
      </c>
      <c r="L583" s="17" t="s">
        <v>1567</v>
      </c>
      <c r="M583" s="5" t="s">
        <v>1570</v>
      </c>
      <c r="N583" s="19" t="s">
        <v>1578</v>
      </c>
      <c r="O583" s="20">
        <f ca="1">DATEDIF(Addmisson[[#This Row],[Student_DOB]],TODAY(),"y")</f>
        <v>19</v>
      </c>
      <c r="P583" s="20" t="str">
        <f>TEXT(Addmisson[[#This Row],[Admission_Date]],"mmmm")</f>
        <v>August</v>
      </c>
      <c r="Q583" s="20">
        <f>YEAR(Addmisson[[#This Row],[Admission_Date]])</f>
        <v>2026</v>
      </c>
    </row>
    <row r="584" spans="1:17" x14ac:dyDescent="0.25">
      <c r="A584" s="14" t="s">
        <v>1674</v>
      </c>
      <c r="B584" s="15">
        <v>46254</v>
      </c>
      <c r="C584" s="16" t="s">
        <v>1829</v>
      </c>
      <c r="D584" s="2" t="s">
        <v>1555</v>
      </c>
      <c r="E584" s="3">
        <v>39053</v>
      </c>
      <c r="F584" s="2" t="s">
        <v>27</v>
      </c>
      <c r="G584" s="2" t="s">
        <v>27</v>
      </c>
      <c r="H584" s="2" t="s">
        <v>131</v>
      </c>
      <c r="I584" s="2" t="s">
        <v>1057</v>
      </c>
      <c r="J584" s="2" t="s">
        <v>1058</v>
      </c>
      <c r="K584" s="2" t="s">
        <v>1560</v>
      </c>
      <c r="L584" s="17" t="s">
        <v>1567</v>
      </c>
      <c r="M584" s="5" t="s">
        <v>1575</v>
      </c>
      <c r="N584" s="19" t="s">
        <v>1578</v>
      </c>
      <c r="O584" s="20">
        <f ca="1">DATEDIF(Addmisson[[#This Row],[Student_DOB]],TODAY(),"y")</f>
        <v>19</v>
      </c>
      <c r="P584" s="20" t="str">
        <f>TEXT(Addmisson[[#This Row],[Admission_Date]],"mmmm")</f>
        <v>August</v>
      </c>
      <c r="Q584" s="20">
        <f>YEAR(Addmisson[[#This Row],[Admission_Date]])</f>
        <v>2026</v>
      </c>
    </row>
    <row r="585" spans="1:17" x14ac:dyDescent="0.25">
      <c r="A585" s="14" t="s">
        <v>1675</v>
      </c>
      <c r="B585" s="15">
        <v>46255</v>
      </c>
      <c r="C585" s="16" t="s">
        <v>1830</v>
      </c>
      <c r="D585" s="2" t="s">
        <v>1556</v>
      </c>
      <c r="E585" s="15">
        <v>39028</v>
      </c>
      <c r="F585" s="2" t="s">
        <v>148</v>
      </c>
      <c r="G585" s="2" t="s">
        <v>148</v>
      </c>
      <c r="H585" s="2" t="s">
        <v>148</v>
      </c>
      <c r="I585" s="17" t="s">
        <v>1057</v>
      </c>
      <c r="J585" s="17" t="s">
        <v>1058</v>
      </c>
      <c r="K585" s="17" t="s">
        <v>1564</v>
      </c>
      <c r="L585" s="17" t="s">
        <v>1567</v>
      </c>
      <c r="M585" s="5" t="s">
        <v>1571</v>
      </c>
      <c r="N585" s="19" t="s">
        <v>1578</v>
      </c>
      <c r="O585" s="20">
        <f ca="1">DATEDIF(Addmisson[[#This Row],[Student_DOB]],TODAY(),"y")</f>
        <v>19</v>
      </c>
      <c r="P585" s="20" t="str">
        <f>TEXT(Addmisson[[#This Row],[Admission_Date]],"mmmm")</f>
        <v>August</v>
      </c>
      <c r="Q585" s="20">
        <f>YEAR(Addmisson[[#This Row],[Admission_Date]])</f>
        <v>2026</v>
      </c>
    </row>
    <row r="586" spans="1:17" x14ac:dyDescent="0.25">
      <c r="A586" s="14" t="s">
        <v>1676</v>
      </c>
      <c r="B586" s="15">
        <v>46256</v>
      </c>
      <c r="C586" s="16" t="s">
        <v>1831</v>
      </c>
      <c r="D586" s="17" t="s">
        <v>1581</v>
      </c>
      <c r="E586" s="3">
        <v>38578</v>
      </c>
      <c r="F586" s="2" t="s">
        <v>14</v>
      </c>
      <c r="G586" s="2" t="s">
        <v>14</v>
      </c>
      <c r="H586" s="2" t="s">
        <v>132</v>
      </c>
      <c r="I586" s="2" t="s">
        <v>1051</v>
      </c>
      <c r="J586" s="2" t="s">
        <v>1052</v>
      </c>
      <c r="K586" s="2" t="s">
        <v>1558</v>
      </c>
      <c r="L586" s="17" t="s">
        <v>1567</v>
      </c>
      <c r="M586" s="5" t="s">
        <v>1572</v>
      </c>
      <c r="N586" s="19" t="s">
        <v>1578</v>
      </c>
      <c r="O586" s="20">
        <f ca="1">DATEDIF(Addmisson[[#This Row],[Student_DOB]],TODAY(),"y")</f>
        <v>21</v>
      </c>
      <c r="P586" s="20" t="str">
        <f>TEXT(Addmisson[[#This Row],[Admission_Date]],"mmmm")</f>
        <v>August</v>
      </c>
      <c r="Q586" s="20">
        <f>YEAR(Addmisson[[#This Row],[Admission_Date]])</f>
        <v>2026</v>
      </c>
    </row>
    <row r="587" spans="1:17" x14ac:dyDescent="0.25">
      <c r="A587" s="14" t="s">
        <v>1677</v>
      </c>
      <c r="B587" s="15">
        <v>46257</v>
      </c>
      <c r="C587" s="16" t="s">
        <v>1832</v>
      </c>
      <c r="D587" s="2" t="s">
        <v>1541</v>
      </c>
      <c r="E587" s="3">
        <v>39053</v>
      </c>
      <c r="F587" s="2" t="s">
        <v>127</v>
      </c>
      <c r="G587" s="2" t="s">
        <v>127</v>
      </c>
      <c r="H587" s="2" t="s">
        <v>133</v>
      </c>
      <c r="I587" s="2" t="s">
        <v>1053</v>
      </c>
      <c r="J587" s="2" t="s">
        <v>1052</v>
      </c>
      <c r="K587" s="2" t="s">
        <v>1559</v>
      </c>
      <c r="L587" s="17" t="s">
        <v>1567</v>
      </c>
      <c r="M587" s="5" t="s">
        <v>1573</v>
      </c>
      <c r="N587" s="19" t="s">
        <v>1578</v>
      </c>
      <c r="O587" s="20">
        <f ca="1">DATEDIF(Addmisson[[#This Row],[Student_DOB]],TODAY(),"y")</f>
        <v>19</v>
      </c>
      <c r="P587" s="20" t="str">
        <f>TEXT(Addmisson[[#This Row],[Admission_Date]],"mmmm")</f>
        <v>August</v>
      </c>
      <c r="Q587" s="20">
        <f>YEAR(Addmisson[[#This Row],[Admission_Date]])</f>
        <v>2026</v>
      </c>
    </row>
    <row r="588" spans="1:17" x14ac:dyDescent="0.25">
      <c r="A588" s="14" t="s">
        <v>1678</v>
      </c>
      <c r="B588" s="15">
        <v>46258</v>
      </c>
      <c r="C588" s="16" t="s">
        <v>1833</v>
      </c>
      <c r="D588" s="2" t="s">
        <v>1542</v>
      </c>
      <c r="E588" s="15">
        <v>39028</v>
      </c>
      <c r="F588" s="2" t="s">
        <v>138</v>
      </c>
      <c r="G588" s="2" t="s">
        <v>138</v>
      </c>
      <c r="H588" s="2" t="s">
        <v>138</v>
      </c>
      <c r="I588" s="2" t="s">
        <v>1054</v>
      </c>
      <c r="J588" s="2" t="s">
        <v>1052</v>
      </c>
      <c r="K588" s="2" t="s">
        <v>1560</v>
      </c>
      <c r="L588" s="17" t="s">
        <v>1567</v>
      </c>
      <c r="M588" s="5" t="s">
        <v>1574</v>
      </c>
      <c r="N588" s="19" t="s">
        <v>1578</v>
      </c>
      <c r="O588" s="20">
        <f ca="1">DATEDIF(Addmisson[[#This Row],[Student_DOB]],TODAY(),"y")</f>
        <v>19</v>
      </c>
      <c r="P588" s="20" t="str">
        <f>TEXT(Addmisson[[#This Row],[Admission_Date]],"mmmm")</f>
        <v>August</v>
      </c>
      <c r="Q588" s="20">
        <f>YEAR(Addmisson[[#This Row],[Admission_Date]])</f>
        <v>2026</v>
      </c>
    </row>
    <row r="589" spans="1:17" x14ac:dyDescent="0.25">
      <c r="A589" s="14" t="s">
        <v>1679</v>
      </c>
      <c r="B589" s="15">
        <v>46259</v>
      </c>
      <c r="C589" s="16" t="s">
        <v>1834</v>
      </c>
      <c r="D589" s="2" t="s">
        <v>1543</v>
      </c>
      <c r="E589" s="3">
        <v>38578</v>
      </c>
      <c r="F589" s="17" t="s">
        <v>14</v>
      </c>
      <c r="G589" s="17" t="s">
        <v>14</v>
      </c>
      <c r="H589" s="17" t="s">
        <v>15</v>
      </c>
      <c r="I589" s="2" t="s">
        <v>1055</v>
      </c>
      <c r="J589" s="2" t="s">
        <v>1055</v>
      </c>
      <c r="K589" s="17" t="s">
        <v>1564</v>
      </c>
      <c r="L589" s="17" t="s">
        <v>1567</v>
      </c>
      <c r="M589" s="5" t="s">
        <v>1576</v>
      </c>
      <c r="N589" s="19" t="s">
        <v>1578</v>
      </c>
      <c r="O589" s="20">
        <f ca="1">DATEDIF(Addmisson[[#This Row],[Student_DOB]],TODAY(),"y")</f>
        <v>21</v>
      </c>
      <c r="P589" s="20" t="str">
        <f>TEXT(Addmisson[[#This Row],[Admission_Date]],"mmmm")</f>
        <v>August</v>
      </c>
      <c r="Q589" s="20">
        <f>YEAR(Addmisson[[#This Row],[Admission_Date]])</f>
        <v>2026</v>
      </c>
    </row>
    <row r="590" spans="1:17" x14ac:dyDescent="0.25">
      <c r="A590" s="14" t="s">
        <v>1680</v>
      </c>
      <c r="B590" s="15">
        <v>46260</v>
      </c>
      <c r="C590" s="16" t="s">
        <v>1835</v>
      </c>
      <c r="D590" s="2" t="s">
        <v>1544</v>
      </c>
      <c r="E590" s="3">
        <v>39053</v>
      </c>
      <c r="F590" s="2" t="s">
        <v>32</v>
      </c>
      <c r="G590" s="2" t="s">
        <v>32</v>
      </c>
      <c r="H590" s="2" t="s">
        <v>32</v>
      </c>
      <c r="I590" s="2" t="s">
        <v>16</v>
      </c>
      <c r="J590" s="2" t="s">
        <v>1056</v>
      </c>
      <c r="K590" s="2" t="s">
        <v>1558</v>
      </c>
      <c r="L590" s="17" t="s">
        <v>1567</v>
      </c>
      <c r="M590" s="5" t="s">
        <v>1577</v>
      </c>
      <c r="N590" s="19" t="s">
        <v>1578</v>
      </c>
      <c r="O590" s="20">
        <f ca="1">DATEDIF(Addmisson[[#This Row],[Student_DOB]],TODAY(),"y")</f>
        <v>19</v>
      </c>
      <c r="P590" s="20" t="str">
        <f>TEXT(Addmisson[[#This Row],[Admission_Date]],"mmmm")</f>
        <v>August</v>
      </c>
      <c r="Q590" s="20">
        <f>YEAR(Addmisson[[#This Row],[Admission_Date]])</f>
        <v>2026</v>
      </c>
    </row>
    <row r="591" spans="1:17" x14ac:dyDescent="0.25">
      <c r="A591" s="14" t="s">
        <v>1681</v>
      </c>
      <c r="B591" s="15">
        <v>46261</v>
      </c>
      <c r="C591" s="16" t="s">
        <v>1836</v>
      </c>
      <c r="D591" s="2" t="s">
        <v>1545</v>
      </c>
      <c r="E591" s="15">
        <v>39028</v>
      </c>
      <c r="F591" s="2" t="s">
        <v>129</v>
      </c>
      <c r="G591" s="2" t="s">
        <v>129</v>
      </c>
      <c r="H591" s="2" t="s">
        <v>130</v>
      </c>
      <c r="I591" s="2" t="s">
        <v>1057</v>
      </c>
      <c r="J591" s="2" t="s">
        <v>1058</v>
      </c>
      <c r="K591" s="2" t="s">
        <v>1559</v>
      </c>
      <c r="L591" s="17" t="s">
        <v>1567</v>
      </c>
      <c r="M591" s="18" t="s">
        <v>1575</v>
      </c>
      <c r="N591" s="19" t="s">
        <v>1578</v>
      </c>
      <c r="O591" s="20">
        <f ca="1">DATEDIF(Addmisson[[#This Row],[Student_DOB]],TODAY(),"y")</f>
        <v>19</v>
      </c>
      <c r="P591" s="20" t="str">
        <f>TEXT(Addmisson[[#This Row],[Admission_Date]],"mmmm")</f>
        <v>August</v>
      </c>
      <c r="Q591" s="20">
        <f>YEAR(Addmisson[[#This Row],[Admission_Date]])</f>
        <v>2026</v>
      </c>
    </row>
    <row r="592" spans="1:17" x14ac:dyDescent="0.25">
      <c r="A592" s="14" t="s">
        <v>1682</v>
      </c>
      <c r="B592" s="15">
        <v>46262</v>
      </c>
      <c r="C592" s="16" t="s">
        <v>1837</v>
      </c>
      <c r="D592" s="2" t="s">
        <v>1546</v>
      </c>
      <c r="E592" s="3">
        <v>39308</v>
      </c>
      <c r="F592" s="2" t="s">
        <v>27</v>
      </c>
      <c r="G592" s="2" t="s">
        <v>27</v>
      </c>
      <c r="H592" s="2" t="s">
        <v>131</v>
      </c>
      <c r="I592" s="17" t="s">
        <v>1057</v>
      </c>
      <c r="J592" s="17" t="s">
        <v>1058</v>
      </c>
      <c r="K592" s="2" t="s">
        <v>1560</v>
      </c>
      <c r="L592" s="17" t="s">
        <v>1567</v>
      </c>
      <c r="M592" s="5" t="s">
        <v>1570</v>
      </c>
      <c r="N592" s="19" t="s">
        <v>1578</v>
      </c>
      <c r="O592" s="20">
        <f ca="1">DATEDIF(Addmisson[[#This Row],[Student_DOB]],TODAY(),"y")</f>
        <v>19</v>
      </c>
      <c r="P592" s="20" t="str">
        <f>TEXT(Addmisson[[#This Row],[Admission_Date]],"mmmm")</f>
        <v>August</v>
      </c>
      <c r="Q592" s="20">
        <f>YEAR(Addmisson[[#This Row],[Admission_Date]])</f>
        <v>2026</v>
      </c>
    </row>
    <row r="593" spans="1:17" x14ac:dyDescent="0.25">
      <c r="A593" s="14" t="s">
        <v>1683</v>
      </c>
      <c r="B593" s="15">
        <v>46263</v>
      </c>
      <c r="C593" s="16" t="s">
        <v>1838</v>
      </c>
      <c r="D593" s="2" t="s">
        <v>1547</v>
      </c>
      <c r="E593" s="3">
        <v>39053</v>
      </c>
      <c r="F593" s="2" t="s">
        <v>148</v>
      </c>
      <c r="G593" s="2" t="s">
        <v>148</v>
      </c>
      <c r="H593" s="2" t="s">
        <v>148</v>
      </c>
      <c r="I593" s="2" t="s">
        <v>1051</v>
      </c>
      <c r="J593" s="2" t="s">
        <v>1052</v>
      </c>
      <c r="K593" s="17" t="s">
        <v>1564</v>
      </c>
      <c r="L593" s="17" t="s">
        <v>1567</v>
      </c>
      <c r="M593" s="5" t="s">
        <v>1575</v>
      </c>
      <c r="N593" s="19" t="s">
        <v>1578</v>
      </c>
      <c r="O593" s="20">
        <f ca="1">DATEDIF(Addmisson[[#This Row],[Student_DOB]],TODAY(),"y")</f>
        <v>19</v>
      </c>
      <c r="P593" s="20" t="str">
        <f>TEXT(Addmisson[[#This Row],[Admission_Date]],"mmmm")</f>
        <v>August</v>
      </c>
      <c r="Q593" s="20">
        <f>YEAR(Addmisson[[#This Row],[Admission_Date]])</f>
        <v>2026</v>
      </c>
    </row>
    <row r="594" spans="1:17" x14ac:dyDescent="0.25">
      <c r="A594" s="14" t="s">
        <v>1684</v>
      </c>
      <c r="B594" s="15">
        <v>46264</v>
      </c>
      <c r="C594" s="16" t="s">
        <v>1839</v>
      </c>
      <c r="D594" s="2" t="s">
        <v>1548</v>
      </c>
      <c r="E594" s="15">
        <v>39028</v>
      </c>
      <c r="F594" s="2" t="s">
        <v>14</v>
      </c>
      <c r="G594" s="2" t="s">
        <v>14</v>
      </c>
      <c r="H594" s="2" t="s">
        <v>132</v>
      </c>
      <c r="I594" s="2" t="s">
        <v>1053</v>
      </c>
      <c r="J594" s="2" t="s">
        <v>1052</v>
      </c>
      <c r="K594" s="2" t="s">
        <v>1558</v>
      </c>
      <c r="L594" s="17" t="s">
        <v>1567</v>
      </c>
      <c r="M594" s="5" t="s">
        <v>1571</v>
      </c>
      <c r="N594" s="19" t="s">
        <v>1578</v>
      </c>
      <c r="O594" s="20">
        <f ca="1">DATEDIF(Addmisson[[#This Row],[Student_DOB]],TODAY(),"y")</f>
        <v>19</v>
      </c>
      <c r="P594" s="20" t="str">
        <f>TEXT(Addmisson[[#This Row],[Admission_Date]],"mmmm")</f>
        <v>August</v>
      </c>
      <c r="Q594" s="20">
        <f>YEAR(Addmisson[[#This Row],[Admission_Date]])</f>
        <v>2026</v>
      </c>
    </row>
    <row r="595" spans="1:17" x14ac:dyDescent="0.25">
      <c r="A595" s="14" t="s">
        <v>1685</v>
      </c>
      <c r="B595" s="15">
        <v>46265</v>
      </c>
      <c r="C595" s="16" t="s">
        <v>1840</v>
      </c>
      <c r="D595" s="2" t="s">
        <v>1549</v>
      </c>
      <c r="E595" s="3">
        <v>38578</v>
      </c>
      <c r="F595" s="2" t="s">
        <v>127</v>
      </c>
      <c r="G595" s="2" t="s">
        <v>127</v>
      </c>
      <c r="H595" s="2" t="s">
        <v>133</v>
      </c>
      <c r="I595" s="2" t="s">
        <v>1054</v>
      </c>
      <c r="J595" s="2" t="s">
        <v>1052</v>
      </c>
      <c r="K595" s="2" t="s">
        <v>1559</v>
      </c>
      <c r="L595" s="17" t="s">
        <v>1567</v>
      </c>
      <c r="M595" s="5" t="s">
        <v>1572</v>
      </c>
      <c r="N595" s="19" t="s">
        <v>1578</v>
      </c>
      <c r="O595" s="20">
        <f ca="1">DATEDIF(Addmisson[[#This Row],[Student_DOB]],TODAY(),"y")</f>
        <v>21</v>
      </c>
      <c r="P595" s="20" t="str">
        <f>TEXT(Addmisson[[#This Row],[Admission_Date]],"mmmm")</f>
        <v>August</v>
      </c>
      <c r="Q595" s="20">
        <f>YEAR(Addmisson[[#This Row],[Admission_Date]])</f>
        <v>2026</v>
      </c>
    </row>
    <row r="596" spans="1:17" x14ac:dyDescent="0.25">
      <c r="A596" s="14" t="s">
        <v>1686</v>
      </c>
      <c r="B596" s="15">
        <v>46266</v>
      </c>
      <c r="C596" s="16" t="s">
        <v>1841</v>
      </c>
      <c r="D596" s="2" t="s">
        <v>1550</v>
      </c>
      <c r="E596" s="3">
        <v>39053</v>
      </c>
      <c r="F596" s="2" t="s">
        <v>138</v>
      </c>
      <c r="G596" s="2" t="s">
        <v>138</v>
      </c>
      <c r="H596" s="2" t="s">
        <v>138</v>
      </c>
      <c r="I596" s="2" t="s">
        <v>1055</v>
      </c>
      <c r="J596" s="2" t="s">
        <v>1055</v>
      </c>
      <c r="K596" s="2" t="s">
        <v>1560</v>
      </c>
      <c r="L596" s="17" t="s">
        <v>1567</v>
      </c>
      <c r="M596" s="5" t="s">
        <v>1573</v>
      </c>
      <c r="N596" s="19" t="s">
        <v>1578</v>
      </c>
      <c r="O596" s="20">
        <f ca="1">DATEDIF(Addmisson[[#This Row],[Student_DOB]],TODAY(),"y")</f>
        <v>19</v>
      </c>
      <c r="P596" s="20" t="str">
        <f>TEXT(Addmisson[[#This Row],[Admission_Date]],"mmmm")</f>
        <v>September</v>
      </c>
      <c r="Q596" s="20">
        <f>YEAR(Addmisson[[#This Row],[Admission_Date]])</f>
        <v>2026</v>
      </c>
    </row>
    <row r="597" spans="1:17" x14ac:dyDescent="0.25">
      <c r="A597" s="14" t="s">
        <v>1687</v>
      </c>
      <c r="B597" s="15">
        <v>46267</v>
      </c>
      <c r="C597" s="16" t="s">
        <v>1842</v>
      </c>
      <c r="D597" s="2" t="s">
        <v>1551</v>
      </c>
      <c r="E597" s="15">
        <v>39028</v>
      </c>
      <c r="F597" s="17" t="s">
        <v>14</v>
      </c>
      <c r="G597" s="17" t="s">
        <v>14</v>
      </c>
      <c r="H597" s="17" t="s">
        <v>15</v>
      </c>
      <c r="I597" s="2" t="s">
        <v>16</v>
      </c>
      <c r="J597" s="2" t="s">
        <v>1056</v>
      </c>
      <c r="K597" s="17" t="s">
        <v>1564</v>
      </c>
      <c r="L597" s="17" t="s">
        <v>1567</v>
      </c>
      <c r="M597" s="5" t="s">
        <v>1574</v>
      </c>
      <c r="N597" s="19" t="s">
        <v>1578</v>
      </c>
      <c r="O597" s="20">
        <f ca="1">DATEDIF(Addmisson[[#This Row],[Student_DOB]],TODAY(),"y")</f>
        <v>19</v>
      </c>
      <c r="P597" s="20" t="str">
        <f>TEXT(Addmisson[[#This Row],[Admission_Date]],"mmmm")</f>
        <v>September</v>
      </c>
      <c r="Q597" s="20">
        <f>YEAR(Addmisson[[#This Row],[Admission_Date]])</f>
        <v>2026</v>
      </c>
    </row>
    <row r="598" spans="1:17" x14ac:dyDescent="0.25">
      <c r="A598" s="14" t="s">
        <v>1688</v>
      </c>
      <c r="B598" s="15">
        <v>46268</v>
      </c>
      <c r="C598" s="16" t="s">
        <v>1843</v>
      </c>
      <c r="D598" s="2" t="s">
        <v>1552</v>
      </c>
      <c r="E598" s="3">
        <v>38578</v>
      </c>
      <c r="F598" s="2" t="s">
        <v>32</v>
      </c>
      <c r="G598" s="2" t="s">
        <v>32</v>
      </c>
      <c r="H598" s="2" t="s">
        <v>32</v>
      </c>
      <c r="I598" s="2" t="s">
        <v>1057</v>
      </c>
      <c r="J598" s="2" t="s">
        <v>1058</v>
      </c>
      <c r="K598" s="2" t="s">
        <v>1558</v>
      </c>
      <c r="L598" s="17" t="s">
        <v>1567</v>
      </c>
      <c r="M598" s="5" t="s">
        <v>1576</v>
      </c>
      <c r="N598" s="19" t="s">
        <v>1578</v>
      </c>
      <c r="O598" s="20">
        <f ca="1">DATEDIF(Addmisson[[#This Row],[Student_DOB]],TODAY(),"y")</f>
        <v>21</v>
      </c>
      <c r="P598" s="20" t="str">
        <f>TEXT(Addmisson[[#This Row],[Admission_Date]],"mmmm")</f>
        <v>September</v>
      </c>
      <c r="Q598" s="20">
        <f>YEAR(Addmisson[[#This Row],[Admission_Date]])</f>
        <v>2026</v>
      </c>
    </row>
    <row r="599" spans="1:17" x14ac:dyDescent="0.25">
      <c r="A599" s="14" t="s">
        <v>1689</v>
      </c>
      <c r="B599" s="15">
        <v>46269</v>
      </c>
      <c r="C599" s="16" t="s">
        <v>1844</v>
      </c>
      <c r="D599" s="2" t="s">
        <v>1553</v>
      </c>
      <c r="E599" s="3">
        <v>39053</v>
      </c>
      <c r="F599" s="2" t="s">
        <v>129</v>
      </c>
      <c r="G599" s="2" t="s">
        <v>129</v>
      </c>
      <c r="H599" s="2" t="s">
        <v>130</v>
      </c>
      <c r="I599" s="17" t="s">
        <v>1057</v>
      </c>
      <c r="J599" s="17" t="s">
        <v>1058</v>
      </c>
      <c r="K599" s="2" t="s">
        <v>1559</v>
      </c>
      <c r="L599" s="17" t="s">
        <v>1567</v>
      </c>
      <c r="M599" s="5" t="s">
        <v>1577</v>
      </c>
      <c r="N599" s="19" t="s">
        <v>1578</v>
      </c>
      <c r="O599" s="20">
        <f ca="1">DATEDIF(Addmisson[[#This Row],[Student_DOB]],TODAY(),"y")</f>
        <v>19</v>
      </c>
      <c r="P599" s="20" t="str">
        <f>TEXT(Addmisson[[#This Row],[Admission_Date]],"mmmm")</f>
        <v>September</v>
      </c>
      <c r="Q599" s="20">
        <f>YEAR(Addmisson[[#This Row],[Admission_Date]])</f>
        <v>2026</v>
      </c>
    </row>
    <row r="600" spans="1:17" x14ac:dyDescent="0.25">
      <c r="A600" s="14" t="s">
        <v>1690</v>
      </c>
      <c r="B600" s="15">
        <v>46270</v>
      </c>
      <c r="C600" s="16" t="s">
        <v>1845</v>
      </c>
      <c r="D600" s="2" t="s">
        <v>1554</v>
      </c>
      <c r="E600" s="15">
        <v>39028</v>
      </c>
      <c r="F600" s="2" t="s">
        <v>27</v>
      </c>
      <c r="G600" s="2" t="s">
        <v>27</v>
      </c>
      <c r="H600" s="2" t="s">
        <v>131</v>
      </c>
      <c r="I600" s="2" t="s">
        <v>1051</v>
      </c>
      <c r="J600" s="2" t="s">
        <v>1052</v>
      </c>
      <c r="K600" s="2" t="s">
        <v>1560</v>
      </c>
      <c r="L600" s="17" t="s">
        <v>1567</v>
      </c>
      <c r="M600" s="18" t="s">
        <v>1575</v>
      </c>
      <c r="N600" s="19" t="s">
        <v>1578</v>
      </c>
      <c r="O600" s="20">
        <f ca="1">DATEDIF(Addmisson[[#This Row],[Student_DOB]],TODAY(),"y")</f>
        <v>19</v>
      </c>
      <c r="P600" s="20" t="str">
        <f>TEXT(Addmisson[[#This Row],[Admission_Date]],"mmmm")</f>
        <v>September</v>
      </c>
      <c r="Q600" s="20">
        <f>YEAR(Addmisson[[#This Row],[Admission_Date]])</f>
        <v>2026</v>
      </c>
    </row>
    <row r="601" spans="1:17" x14ac:dyDescent="0.25">
      <c r="A601" s="14" t="s">
        <v>1691</v>
      </c>
      <c r="B601" s="15">
        <v>46271</v>
      </c>
      <c r="C601" s="16" t="s">
        <v>1846</v>
      </c>
      <c r="D601" s="2" t="s">
        <v>1555</v>
      </c>
      <c r="E601" s="3">
        <v>38578</v>
      </c>
      <c r="F601" s="2" t="s">
        <v>148</v>
      </c>
      <c r="G601" s="2" t="s">
        <v>148</v>
      </c>
      <c r="H601" s="2" t="s">
        <v>148</v>
      </c>
      <c r="I601" s="2" t="s">
        <v>1053</v>
      </c>
      <c r="J601" s="2" t="s">
        <v>1052</v>
      </c>
      <c r="K601" s="17" t="s">
        <v>1564</v>
      </c>
      <c r="L601" s="17" t="s">
        <v>1567</v>
      </c>
      <c r="M601" s="5" t="s">
        <v>1570</v>
      </c>
      <c r="N601" s="19" t="s">
        <v>1578</v>
      </c>
      <c r="O601" s="20">
        <f ca="1">DATEDIF(Addmisson[[#This Row],[Student_DOB]],TODAY(),"y")</f>
        <v>21</v>
      </c>
      <c r="P601" s="20" t="str">
        <f>TEXT(Addmisson[[#This Row],[Admission_Date]],"mmmm")</f>
        <v>September</v>
      </c>
      <c r="Q601" s="20">
        <f>YEAR(Addmisson[[#This Row],[Admission_Date]])</f>
        <v>2026</v>
      </c>
    </row>
    <row r="602" spans="1:17" x14ac:dyDescent="0.25">
      <c r="A602" s="14" t="s">
        <v>1692</v>
      </c>
      <c r="B602" s="15">
        <v>46272</v>
      </c>
      <c r="C602" s="16" t="s">
        <v>1847</v>
      </c>
      <c r="D602" s="2" t="s">
        <v>1556</v>
      </c>
      <c r="E602" s="3">
        <v>39418</v>
      </c>
      <c r="F602" s="2" t="s">
        <v>14</v>
      </c>
      <c r="G602" s="2" t="s">
        <v>14</v>
      </c>
      <c r="H602" s="2" t="s">
        <v>132</v>
      </c>
      <c r="I602" s="2" t="s">
        <v>1054</v>
      </c>
      <c r="J602" s="2" t="s">
        <v>1052</v>
      </c>
      <c r="K602" s="2" t="s">
        <v>1558</v>
      </c>
      <c r="L602" s="17" t="s">
        <v>1567</v>
      </c>
      <c r="M602" s="5" t="s">
        <v>1575</v>
      </c>
      <c r="N602" s="19" t="s">
        <v>1578</v>
      </c>
      <c r="O602" s="20">
        <f ca="1">DATEDIF(Addmisson[[#This Row],[Student_DOB]],TODAY(),"y")</f>
        <v>18</v>
      </c>
      <c r="P602" s="20" t="str">
        <f>TEXT(Addmisson[[#This Row],[Admission_Date]],"mmmm")</f>
        <v>September</v>
      </c>
      <c r="Q602" s="20">
        <f>YEAR(Addmisson[[#This Row],[Admission_Date]])</f>
        <v>2026</v>
      </c>
    </row>
    <row r="603" spans="1:17" x14ac:dyDescent="0.25">
      <c r="A603" s="14" t="s">
        <v>1693</v>
      </c>
      <c r="B603" s="15">
        <v>46273</v>
      </c>
      <c r="C603" s="16" t="s">
        <v>1848</v>
      </c>
      <c r="D603" s="17" t="s">
        <v>1581</v>
      </c>
      <c r="E603" s="15">
        <v>39028</v>
      </c>
      <c r="F603" s="2" t="s">
        <v>127</v>
      </c>
      <c r="G603" s="2" t="s">
        <v>127</v>
      </c>
      <c r="H603" s="2" t="s">
        <v>133</v>
      </c>
      <c r="I603" s="2" t="s">
        <v>1055</v>
      </c>
      <c r="J603" s="2" t="s">
        <v>1055</v>
      </c>
      <c r="K603" s="2" t="s">
        <v>1559</v>
      </c>
      <c r="L603" s="17" t="s">
        <v>1567</v>
      </c>
      <c r="M603" s="5" t="s">
        <v>1571</v>
      </c>
      <c r="N603" s="19" t="s">
        <v>1578</v>
      </c>
      <c r="O603" s="20">
        <f ca="1">DATEDIF(Addmisson[[#This Row],[Student_DOB]],TODAY(),"y")</f>
        <v>19</v>
      </c>
      <c r="P603" s="20" t="str">
        <f>TEXT(Addmisson[[#This Row],[Admission_Date]],"mmmm")</f>
        <v>September</v>
      </c>
      <c r="Q603" s="20">
        <f>YEAR(Addmisson[[#This Row],[Admission_Date]])</f>
        <v>2026</v>
      </c>
    </row>
    <row r="604" spans="1:17" x14ac:dyDescent="0.25">
      <c r="A604" s="14" t="s">
        <v>1694</v>
      </c>
      <c r="B604" s="15">
        <v>46274</v>
      </c>
      <c r="C604" s="16" t="s">
        <v>1849</v>
      </c>
      <c r="D604" s="2" t="s">
        <v>1541</v>
      </c>
      <c r="E604" s="3">
        <v>38578</v>
      </c>
      <c r="F604" s="2" t="s">
        <v>138</v>
      </c>
      <c r="G604" s="2" t="s">
        <v>138</v>
      </c>
      <c r="H604" s="2" t="s">
        <v>138</v>
      </c>
      <c r="I604" s="2" t="s">
        <v>16</v>
      </c>
      <c r="J604" s="2" t="s">
        <v>1056</v>
      </c>
      <c r="K604" s="2" t="s">
        <v>1560</v>
      </c>
      <c r="L604" s="17" t="s">
        <v>1567</v>
      </c>
      <c r="M604" s="5" t="s">
        <v>1572</v>
      </c>
      <c r="N604" s="19" t="s">
        <v>1578</v>
      </c>
      <c r="O604" s="20">
        <f ca="1">DATEDIF(Addmisson[[#This Row],[Student_DOB]],TODAY(),"y")</f>
        <v>21</v>
      </c>
      <c r="P604" s="20" t="str">
        <f>TEXT(Addmisson[[#This Row],[Admission_Date]],"mmmm")</f>
        <v>September</v>
      </c>
      <c r="Q604" s="20">
        <f>YEAR(Addmisson[[#This Row],[Admission_Date]])</f>
        <v>2026</v>
      </c>
    </row>
    <row r="605" spans="1:17" x14ac:dyDescent="0.25">
      <c r="A605" s="14" t="s">
        <v>1695</v>
      </c>
      <c r="B605" s="15">
        <v>46275</v>
      </c>
      <c r="C605" s="16" t="s">
        <v>1850</v>
      </c>
      <c r="D605" s="2" t="s">
        <v>1542</v>
      </c>
      <c r="E605" s="3">
        <v>39053</v>
      </c>
      <c r="F605" s="17" t="s">
        <v>14</v>
      </c>
      <c r="G605" s="17" t="s">
        <v>14</v>
      </c>
      <c r="H605" s="17" t="s">
        <v>15</v>
      </c>
      <c r="I605" s="2" t="s">
        <v>1057</v>
      </c>
      <c r="J605" s="2" t="s">
        <v>1058</v>
      </c>
      <c r="K605" s="17" t="s">
        <v>1564</v>
      </c>
      <c r="L605" s="17" t="s">
        <v>1567</v>
      </c>
      <c r="M605" s="5" t="s">
        <v>1573</v>
      </c>
      <c r="N605" s="19" t="s">
        <v>1578</v>
      </c>
      <c r="O605" s="20">
        <f ca="1">DATEDIF(Addmisson[[#This Row],[Student_DOB]],TODAY(),"y")</f>
        <v>19</v>
      </c>
      <c r="P605" s="20" t="str">
        <f>TEXT(Addmisson[[#This Row],[Admission_Date]],"mmmm")</f>
        <v>September</v>
      </c>
      <c r="Q605" s="20">
        <f>YEAR(Addmisson[[#This Row],[Admission_Date]])</f>
        <v>2026</v>
      </c>
    </row>
    <row r="606" spans="1:17" x14ac:dyDescent="0.25">
      <c r="A606" s="14" t="s">
        <v>1696</v>
      </c>
      <c r="B606" s="15">
        <v>46276</v>
      </c>
      <c r="C606" s="16" t="s">
        <v>1851</v>
      </c>
      <c r="D606" s="2" t="s">
        <v>1543</v>
      </c>
      <c r="E606" s="15">
        <v>39028</v>
      </c>
      <c r="F606" s="2" t="s">
        <v>32</v>
      </c>
      <c r="G606" s="2" t="s">
        <v>32</v>
      </c>
      <c r="H606" s="2" t="s">
        <v>32</v>
      </c>
      <c r="I606" s="17" t="s">
        <v>1057</v>
      </c>
      <c r="J606" s="17" t="s">
        <v>1058</v>
      </c>
      <c r="K606" s="2" t="s">
        <v>1558</v>
      </c>
      <c r="L606" s="17" t="s">
        <v>1567</v>
      </c>
      <c r="M606" s="5" t="s">
        <v>1574</v>
      </c>
      <c r="N606" s="19" t="s">
        <v>1578</v>
      </c>
      <c r="O606" s="20">
        <f ca="1">DATEDIF(Addmisson[[#This Row],[Student_DOB]],TODAY(),"y")</f>
        <v>19</v>
      </c>
      <c r="P606" s="20" t="str">
        <f>TEXT(Addmisson[[#This Row],[Admission_Date]],"mmmm")</f>
        <v>September</v>
      </c>
      <c r="Q606" s="20">
        <f>YEAR(Addmisson[[#This Row],[Admission_Date]])</f>
        <v>2026</v>
      </c>
    </row>
    <row r="607" spans="1:17" x14ac:dyDescent="0.25">
      <c r="A607" s="14" t="s">
        <v>1697</v>
      </c>
      <c r="B607" s="15">
        <v>46277</v>
      </c>
      <c r="C607" s="16" t="s">
        <v>1852</v>
      </c>
      <c r="D607" s="2" t="s">
        <v>1544</v>
      </c>
      <c r="E607" s="3">
        <v>38578</v>
      </c>
      <c r="F607" s="2" t="s">
        <v>129</v>
      </c>
      <c r="G607" s="2" t="s">
        <v>129</v>
      </c>
      <c r="H607" s="2" t="s">
        <v>130</v>
      </c>
      <c r="I607" s="2" t="s">
        <v>1051</v>
      </c>
      <c r="J607" s="2" t="s">
        <v>1052</v>
      </c>
      <c r="K607" s="2" t="s">
        <v>1559</v>
      </c>
      <c r="L607" s="17" t="s">
        <v>1567</v>
      </c>
      <c r="M607" s="5" t="s">
        <v>1576</v>
      </c>
      <c r="N607" s="19" t="s">
        <v>1578</v>
      </c>
      <c r="O607" s="20">
        <f ca="1">DATEDIF(Addmisson[[#This Row],[Student_DOB]],TODAY(),"y")</f>
        <v>21</v>
      </c>
      <c r="P607" s="20" t="str">
        <f>TEXT(Addmisson[[#This Row],[Admission_Date]],"mmmm")</f>
        <v>September</v>
      </c>
      <c r="Q607" s="20">
        <f>YEAR(Addmisson[[#This Row],[Admission_Date]])</f>
        <v>2026</v>
      </c>
    </row>
    <row r="608" spans="1:17" x14ac:dyDescent="0.25">
      <c r="A608" s="14" t="s">
        <v>1698</v>
      </c>
      <c r="B608" s="15">
        <v>46278</v>
      </c>
      <c r="C608" s="16" t="s">
        <v>1853</v>
      </c>
      <c r="D608" s="2" t="s">
        <v>1545</v>
      </c>
      <c r="E608" s="3">
        <v>39053</v>
      </c>
      <c r="F608" s="2" t="s">
        <v>27</v>
      </c>
      <c r="G608" s="2" t="s">
        <v>27</v>
      </c>
      <c r="H608" s="2" t="s">
        <v>131</v>
      </c>
      <c r="I608" s="2" t="s">
        <v>1053</v>
      </c>
      <c r="J608" s="2" t="s">
        <v>1052</v>
      </c>
      <c r="K608" s="2" t="s">
        <v>1560</v>
      </c>
      <c r="L608" s="17" t="s">
        <v>1567</v>
      </c>
      <c r="M608" s="5" t="s">
        <v>1577</v>
      </c>
      <c r="N608" s="19" t="s">
        <v>1578</v>
      </c>
      <c r="O608" s="20">
        <f ca="1">DATEDIF(Addmisson[[#This Row],[Student_DOB]],TODAY(),"y")</f>
        <v>19</v>
      </c>
      <c r="P608" s="20" t="str">
        <f>TEXT(Addmisson[[#This Row],[Admission_Date]],"mmmm")</f>
        <v>September</v>
      </c>
      <c r="Q608" s="20">
        <f>YEAR(Addmisson[[#This Row],[Admission_Date]])</f>
        <v>2026</v>
      </c>
    </row>
    <row r="609" spans="1:17" x14ac:dyDescent="0.25">
      <c r="A609" s="14" t="s">
        <v>1699</v>
      </c>
      <c r="B609" s="15">
        <v>46279</v>
      </c>
      <c r="C609" s="16" t="s">
        <v>1854</v>
      </c>
      <c r="D609" s="2" t="s">
        <v>1546</v>
      </c>
      <c r="E609" s="15">
        <v>39759</v>
      </c>
      <c r="F609" s="2" t="s">
        <v>148</v>
      </c>
      <c r="G609" s="2" t="s">
        <v>148</v>
      </c>
      <c r="H609" s="2" t="s">
        <v>148</v>
      </c>
      <c r="I609" s="2" t="s">
        <v>1054</v>
      </c>
      <c r="J609" s="2" t="s">
        <v>1052</v>
      </c>
      <c r="K609" s="17" t="s">
        <v>1564</v>
      </c>
      <c r="L609" s="17" t="s">
        <v>1567</v>
      </c>
      <c r="M609" s="18" t="s">
        <v>1575</v>
      </c>
      <c r="N609" s="19" t="s">
        <v>1578</v>
      </c>
      <c r="O609" s="20">
        <f ca="1">DATEDIF(Addmisson[[#This Row],[Student_DOB]],TODAY(),"y")</f>
        <v>17</v>
      </c>
      <c r="P609" s="20" t="str">
        <f>TEXT(Addmisson[[#This Row],[Admission_Date]],"mmmm")</f>
        <v>September</v>
      </c>
      <c r="Q609" s="20">
        <f>YEAR(Addmisson[[#This Row],[Admission_Date]])</f>
        <v>2026</v>
      </c>
    </row>
    <row r="610" spans="1:17" x14ac:dyDescent="0.25">
      <c r="A610" s="14" t="s">
        <v>1700</v>
      </c>
      <c r="B610" s="15">
        <v>46280</v>
      </c>
      <c r="C610" s="16" t="s">
        <v>1855</v>
      </c>
      <c r="D610" s="2" t="s">
        <v>1547</v>
      </c>
      <c r="E610" s="3">
        <v>38578</v>
      </c>
      <c r="F610" s="2" t="s">
        <v>14</v>
      </c>
      <c r="G610" s="2" t="s">
        <v>14</v>
      </c>
      <c r="H610" s="2" t="s">
        <v>132</v>
      </c>
      <c r="I610" s="2" t="s">
        <v>1055</v>
      </c>
      <c r="J610" s="2" t="s">
        <v>1055</v>
      </c>
      <c r="K610" s="2" t="s">
        <v>1558</v>
      </c>
      <c r="L610" s="17" t="s">
        <v>1567</v>
      </c>
      <c r="M610" s="5" t="s">
        <v>1570</v>
      </c>
      <c r="N610" s="19" t="s">
        <v>1578</v>
      </c>
      <c r="O610" s="20">
        <f ca="1">DATEDIF(Addmisson[[#This Row],[Student_DOB]],TODAY(),"y")</f>
        <v>21</v>
      </c>
      <c r="P610" s="20" t="str">
        <f>TEXT(Addmisson[[#This Row],[Admission_Date]],"mmmm")</f>
        <v>September</v>
      </c>
      <c r="Q610" s="20">
        <f>YEAR(Addmisson[[#This Row],[Admission_Date]])</f>
        <v>2026</v>
      </c>
    </row>
    <row r="611" spans="1:17" x14ac:dyDescent="0.25">
      <c r="A611" s="14" t="s">
        <v>1701</v>
      </c>
      <c r="B611" s="15">
        <v>46281</v>
      </c>
      <c r="C611" s="16" t="s">
        <v>1856</v>
      </c>
      <c r="D611" s="2" t="s">
        <v>1548</v>
      </c>
      <c r="E611" s="3">
        <v>39053</v>
      </c>
      <c r="F611" s="2" t="s">
        <v>127</v>
      </c>
      <c r="G611" s="2" t="s">
        <v>127</v>
      </c>
      <c r="H611" s="2" t="s">
        <v>133</v>
      </c>
      <c r="I611" s="2" t="s">
        <v>16</v>
      </c>
      <c r="J611" s="2" t="s">
        <v>1056</v>
      </c>
      <c r="K611" s="2" t="s">
        <v>1559</v>
      </c>
      <c r="L611" s="17" t="s">
        <v>1567</v>
      </c>
      <c r="M611" s="5" t="s">
        <v>1575</v>
      </c>
      <c r="N611" s="19" t="s">
        <v>1578</v>
      </c>
      <c r="O611" s="20">
        <f ca="1">DATEDIF(Addmisson[[#This Row],[Student_DOB]],TODAY(),"y")</f>
        <v>19</v>
      </c>
      <c r="P611" s="20" t="str">
        <f>TEXT(Addmisson[[#This Row],[Admission_Date]],"mmmm")</f>
        <v>September</v>
      </c>
      <c r="Q611" s="20">
        <f>YEAR(Addmisson[[#This Row],[Admission_Date]])</f>
        <v>2026</v>
      </c>
    </row>
    <row r="612" spans="1:17" x14ac:dyDescent="0.25">
      <c r="A612" s="14" t="s">
        <v>1702</v>
      </c>
      <c r="B612" s="15">
        <v>46282</v>
      </c>
      <c r="C612" s="16" t="s">
        <v>1857</v>
      </c>
      <c r="D612" s="2" t="s">
        <v>1549</v>
      </c>
      <c r="E612" s="15">
        <v>39028</v>
      </c>
      <c r="F612" s="2" t="s">
        <v>138</v>
      </c>
      <c r="G612" s="2" t="s">
        <v>138</v>
      </c>
      <c r="H612" s="2" t="s">
        <v>138</v>
      </c>
      <c r="I612" s="2" t="s">
        <v>1057</v>
      </c>
      <c r="J612" s="2" t="s">
        <v>1058</v>
      </c>
      <c r="K612" s="2" t="s">
        <v>1560</v>
      </c>
      <c r="L612" s="17" t="s">
        <v>1567</v>
      </c>
      <c r="M612" s="5" t="s">
        <v>1571</v>
      </c>
      <c r="N612" s="19" t="s">
        <v>1578</v>
      </c>
      <c r="O612" s="20">
        <f ca="1">DATEDIF(Addmisson[[#This Row],[Student_DOB]],TODAY(),"y")</f>
        <v>19</v>
      </c>
      <c r="P612" s="20" t="str">
        <f>TEXT(Addmisson[[#This Row],[Admission_Date]],"mmmm")</f>
        <v>September</v>
      </c>
      <c r="Q612" s="20">
        <f>YEAR(Addmisson[[#This Row],[Admission_Date]])</f>
        <v>2026</v>
      </c>
    </row>
    <row r="613" spans="1:17" x14ac:dyDescent="0.25">
      <c r="A613" s="14" t="s">
        <v>1703</v>
      </c>
      <c r="B613" s="15">
        <v>46283</v>
      </c>
      <c r="C613" s="16" t="s">
        <v>1858</v>
      </c>
      <c r="D613" s="2" t="s">
        <v>1550</v>
      </c>
      <c r="E613" s="3">
        <v>38578</v>
      </c>
      <c r="F613" s="17" t="s">
        <v>14</v>
      </c>
      <c r="G613" s="17" t="s">
        <v>14</v>
      </c>
      <c r="H613" s="17" t="s">
        <v>15</v>
      </c>
      <c r="I613" s="17" t="s">
        <v>1057</v>
      </c>
      <c r="J613" s="17" t="s">
        <v>1058</v>
      </c>
      <c r="K613" s="17" t="s">
        <v>1564</v>
      </c>
      <c r="L613" s="17" t="s">
        <v>1567</v>
      </c>
      <c r="M613" s="5" t="s">
        <v>1572</v>
      </c>
      <c r="N613" s="19" t="s">
        <v>1578</v>
      </c>
      <c r="O613" s="20">
        <f ca="1">DATEDIF(Addmisson[[#This Row],[Student_DOB]],TODAY(),"y")</f>
        <v>21</v>
      </c>
      <c r="P613" s="20" t="str">
        <f>TEXT(Addmisson[[#This Row],[Admission_Date]],"mmmm")</f>
        <v>September</v>
      </c>
      <c r="Q613" s="20">
        <f>YEAR(Addmisson[[#This Row],[Admission_Date]])</f>
        <v>2026</v>
      </c>
    </row>
    <row r="614" spans="1:17" x14ac:dyDescent="0.25">
      <c r="A614" s="14" t="s">
        <v>1704</v>
      </c>
      <c r="B614" s="15">
        <v>46284</v>
      </c>
      <c r="C614" s="16" t="s">
        <v>1859</v>
      </c>
      <c r="D614" s="2" t="s">
        <v>1551</v>
      </c>
      <c r="E614" s="3">
        <v>39053</v>
      </c>
      <c r="F614" s="2" t="s">
        <v>32</v>
      </c>
      <c r="G614" s="2" t="s">
        <v>32</v>
      </c>
      <c r="H614" s="2" t="s">
        <v>32</v>
      </c>
      <c r="I614" s="2" t="s">
        <v>1051</v>
      </c>
      <c r="J614" s="2" t="s">
        <v>1052</v>
      </c>
      <c r="K614" s="2" t="s">
        <v>1558</v>
      </c>
      <c r="L614" s="17" t="s">
        <v>1567</v>
      </c>
      <c r="M614" s="5" t="s">
        <v>1573</v>
      </c>
      <c r="N614" s="19" t="s">
        <v>1578</v>
      </c>
      <c r="O614" s="20">
        <f ca="1">DATEDIF(Addmisson[[#This Row],[Student_DOB]],TODAY(),"y")</f>
        <v>19</v>
      </c>
      <c r="P614" s="20" t="str">
        <f>TEXT(Addmisson[[#This Row],[Admission_Date]],"mmmm")</f>
        <v>September</v>
      </c>
      <c r="Q614" s="20">
        <f>YEAR(Addmisson[[#This Row],[Admission_Date]])</f>
        <v>2026</v>
      </c>
    </row>
    <row r="615" spans="1:17" x14ac:dyDescent="0.25">
      <c r="A615" s="14" t="s">
        <v>1705</v>
      </c>
      <c r="B615" s="15">
        <v>46285</v>
      </c>
      <c r="C615" s="16" t="s">
        <v>1860</v>
      </c>
      <c r="D615" s="2" t="s">
        <v>1552</v>
      </c>
      <c r="E615" s="15">
        <v>39028</v>
      </c>
      <c r="F615" s="2" t="s">
        <v>129</v>
      </c>
      <c r="G615" s="2" t="s">
        <v>129</v>
      </c>
      <c r="H615" s="2" t="s">
        <v>130</v>
      </c>
      <c r="I615" s="2" t="s">
        <v>1053</v>
      </c>
      <c r="J615" s="2" t="s">
        <v>1052</v>
      </c>
      <c r="K615" s="2" t="s">
        <v>1559</v>
      </c>
      <c r="L615" s="17" t="s">
        <v>1567</v>
      </c>
      <c r="M615" s="5" t="s">
        <v>1574</v>
      </c>
      <c r="N615" s="19" t="s">
        <v>1578</v>
      </c>
      <c r="O615" s="20">
        <f ca="1">DATEDIF(Addmisson[[#This Row],[Student_DOB]],TODAY(),"y")</f>
        <v>19</v>
      </c>
      <c r="P615" s="20" t="str">
        <f>TEXT(Addmisson[[#This Row],[Admission_Date]],"mmmm")</f>
        <v>September</v>
      </c>
      <c r="Q615" s="20">
        <f>YEAR(Addmisson[[#This Row],[Admission_Date]])</f>
        <v>2026</v>
      </c>
    </row>
    <row r="616" spans="1:17" x14ac:dyDescent="0.25">
      <c r="A616" s="14" t="s">
        <v>1706</v>
      </c>
      <c r="B616" s="15">
        <v>46286</v>
      </c>
      <c r="C616" s="16" t="s">
        <v>1861</v>
      </c>
      <c r="D616" s="2" t="s">
        <v>1553</v>
      </c>
      <c r="E616" s="3">
        <v>38578</v>
      </c>
      <c r="F616" s="2" t="s">
        <v>27</v>
      </c>
      <c r="G616" s="2" t="s">
        <v>27</v>
      </c>
      <c r="H616" s="2" t="s">
        <v>131</v>
      </c>
      <c r="I616" s="2" t="s">
        <v>1054</v>
      </c>
      <c r="J616" s="2" t="s">
        <v>1052</v>
      </c>
      <c r="K616" s="2" t="s">
        <v>1560</v>
      </c>
      <c r="L616" s="17" t="s">
        <v>1567</v>
      </c>
      <c r="M616" s="5" t="s">
        <v>1576</v>
      </c>
      <c r="N616" s="19" t="s">
        <v>1578</v>
      </c>
      <c r="O616" s="20">
        <f ca="1">DATEDIF(Addmisson[[#This Row],[Student_DOB]],TODAY(),"y")</f>
        <v>21</v>
      </c>
      <c r="P616" s="20" t="str">
        <f>TEXT(Addmisson[[#This Row],[Admission_Date]],"mmmm")</f>
        <v>September</v>
      </c>
      <c r="Q616" s="20">
        <f>YEAR(Addmisson[[#This Row],[Admission_Date]])</f>
        <v>2026</v>
      </c>
    </row>
    <row r="617" spans="1:17" x14ac:dyDescent="0.25">
      <c r="A617" s="14" t="s">
        <v>1707</v>
      </c>
      <c r="B617" s="15">
        <v>46287</v>
      </c>
      <c r="C617" s="16" t="s">
        <v>1862</v>
      </c>
      <c r="D617" s="2" t="s">
        <v>1554</v>
      </c>
      <c r="E617" s="3">
        <v>39053</v>
      </c>
      <c r="F617" s="2" t="s">
        <v>148</v>
      </c>
      <c r="G617" s="2" t="s">
        <v>148</v>
      </c>
      <c r="H617" s="2" t="s">
        <v>148</v>
      </c>
      <c r="I617" s="2" t="s">
        <v>1055</v>
      </c>
      <c r="J617" s="2" t="s">
        <v>1055</v>
      </c>
      <c r="K617" s="17" t="s">
        <v>1564</v>
      </c>
      <c r="L617" s="17" t="s">
        <v>1567</v>
      </c>
      <c r="M617" s="5" t="s">
        <v>1577</v>
      </c>
      <c r="N617" s="19" t="s">
        <v>1578</v>
      </c>
      <c r="O617" s="20">
        <f ca="1">DATEDIF(Addmisson[[#This Row],[Student_DOB]],TODAY(),"y")</f>
        <v>19</v>
      </c>
      <c r="P617" s="20" t="str">
        <f>TEXT(Addmisson[[#This Row],[Admission_Date]],"mmmm")</f>
        <v>September</v>
      </c>
      <c r="Q617" s="20">
        <f>YEAR(Addmisson[[#This Row],[Admission_Date]])</f>
        <v>2026</v>
      </c>
    </row>
    <row r="618" spans="1:17" x14ac:dyDescent="0.25">
      <c r="A618" s="14" t="s">
        <v>1708</v>
      </c>
      <c r="B618" s="15">
        <v>46288</v>
      </c>
      <c r="C618" s="16" t="s">
        <v>1863</v>
      </c>
      <c r="D618" s="2" t="s">
        <v>1555</v>
      </c>
      <c r="E618" s="15">
        <v>39028</v>
      </c>
      <c r="F618" s="2" t="s">
        <v>14</v>
      </c>
      <c r="G618" s="2" t="s">
        <v>14</v>
      </c>
      <c r="H618" s="2" t="s">
        <v>132</v>
      </c>
      <c r="I618" s="2" t="s">
        <v>16</v>
      </c>
      <c r="J618" s="2" t="s">
        <v>1056</v>
      </c>
      <c r="K618" s="2" t="s">
        <v>1558</v>
      </c>
      <c r="L618" s="17" t="s">
        <v>1567</v>
      </c>
      <c r="M618" s="18" t="s">
        <v>1575</v>
      </c>
      <c r="N618" s="19" t="s">
        <v>1578</v>
      </c>
      <c r="O618" s="20">
        <f ca="1">DATEDIF(Addmisson[[#This Row],[Student_DOB]],TODAY(),"y")</f>
        <v>19</v>
      </c>
      <c r="P618" s="20" t="str">
        <f>TEXT(Addmisson[[#This Row],[Admission_Date]],"mmmm")</f>
        <v>September</v>
      </c>
      <c r="Q618" s="20">
        <f>YEAR(Addmisson[[#This Row],[Admission_Date]])</f>
        <v>2026</v>
      </c>
    </row>
    <row r="619" spans="1:17" x14ac:dyDescent="0.25">
      <c r="A619" s="14" t="s">
        <v>1709</v>
      </c>
      <c r="B619" s="15">
        <v>46289</v>
      </c>
      <c r="C619" s="16" t="s">
        <v>1864</v>
      </c>
      <c r="D619" s="2" t="s">
        <v>1556</v>
      </c>
      <c r="E619" s="3">
        <v>38578</v>
      </c>
      <c r="F619" s="2" t="s">
        <v>127</v>
      </c>
      <c r="G619" s="2" t="s">
        <v>127</v>
      </c>
      <c r="H619" s="2" t="s">
        <v>133</v>
      </c>
      <c r="I619" s="2" t="s">
        <v>1057</v>
      </c>
      <c r="J619" s="2" t="s">
        <v>1058</v>
      </c>
      <c r="K619" s="2" t="s">
        <v>1559</v>
      </c>
      <c r="L619" s="17" t="s">
        <v>1567</v>
      </c>
      <c r="M619" s="5" t="s">
        <v>1570</v>
      </c>
      <c r="N619" s="19" t="s">
        <v>1578</v>
      </c>
      <c r="O619" s="20">
        <f ca="1">DATEDIF(Addmisson[[#This Row],[Student_DOB]],TODAY(),"y")</f>
        <v>21</v>
      </c>
      <c r="P619" s="20" t="str">
        <f>TEXT(Addmisson[[#This Row],[Admission_Date]],"mmmm")</f>
        <v>September</v>
      </c>
      <c r="Q619" s="20">
        <f>YEAR(Addmisson[[#This Row],[Admission_Date]])</f>
        <v>2026</v>
      </c>
    </row>
    <row r="620" spans="1:17" x14ac:dyDescent="0.25">
      <c r="A620" s="14" t="s">
        <v>1710</v>
      </c>
      <c r="B620" s="15">
        <v>46290</v>
      </c>
      <c r="C620" s="16" t="s">
        <v>1865</v>
      </c>
      <c r="D620" s="17" t="s">
        <v>1581</v>
      </c>
      <c r="E620" s="3">
        <v>40149</v>
      </c>
      <c r="F620" s="2" t="s">
        <v>138</v>
      </c>
      <c r="G620" s="2" t="s">
        <v>138</v>
      </c>
      <c r="H620" s="2" t="s">
        <v>138</v>
      </c>
      <c r="I620" s="17" t="s">
        <v>1057</v>
      </c>
      <c r="J620" s="17" t="s">
        <v>1058</v>
      </c>
      <c r="K620" s="2" t="s">
        <v>1560</v>
      </c>
      <c r="L620" s="17" t="s">
        <v>1567</v>
      </c>
      <c r="M620" s="5" t="s">
        <v>1575</v>
      </c>
      <c r="N620" s="19" t="s">
        <v>1578</v>
      </c>
      <c r="O620" s="20">
        <f ca="1">DATEDIF(Addmisson[[#This Row],[Student_DOB]],TODAY(),"y")</f>
        <v>16</v>
      </c>
      <c r="P620" s="20" t="str">
        <f>TEXT(Addmisson[[#This Row],[Admission_Date]],"mmmm")</f>
        <v>September</v>
      </c>
      <c r="Q620" s="20">
        <f>YEAR(Addmisson[[#This Row],[Admission_Date]])</f>
        <v>2026</v>
      </c>
    </row>
    <row r="621" spans="1:17" x14ac:dyDescent="0.25">
      <c r="A621" s="14" t="s">
        <v>1711</v>
      </c>
      <c r="B621" s="15">
        <v>46291</v>
      </c>
      <c r="C621" s="16" t="s">
        <v>1866</v>
      </c>
      <c r="D621" s="2" t="s">
        <v>1541</v>
      </c>
      <c r="E621" s="15">
        <v>39028</v>
      </c>
      <c r="F621" s="17" t="s">
        <v>14</v>
      </c>
      <c r="G621" s="17" t="s">
        <v>14</v>
      </c>
      <c r="H621" s="17" t="s">
        <v>15</v>
      </c>
      <c r="I621" s="2" t="s">
        <v>1051</v>
      </c>
      <c r="J621" s="2" t="s">
        <v>1052</v>
      </c>
      <c r="K621" s="17" t="s">
        <v>1564</v>
      </c>
      <c r="L621" s="17" t="s">
        <v>1567</v>
      </c>
      <c r="M621" s="5" t="s">
        <v>1571</v>
      </c>
      <c r="N621" s="19" t="s">
        <v>1578</v>
      </c>
      <c r="O621" s="20">
        <f ca="1">DATEDIF(Addmisson[[#This Row],[Student_DOB]],TODAY(),"y")</f>
        <v>19</v>
      </c>
      <c r="P621" s="20" t="str">
        <f>TEXT(Addmisson[[#This Row],[Admission_Date]],"mmmm")</f>
        <v>September</v>
      </c>
      <c r="Q621" s="20">
        <f>YEAR(Addmisson[[#This Row],[Admission_Date]])</f>
        <v>2026</v>
      </c>
    </row>
    <row r="622" spans="1:17" x14ac:dyDescent="0.25">
      <c r="A622" s="14" t="s">
        <v>1712</v>
      </c>
      <c r="B622" s="15">
        <v>46292</v>
      </c>
      <c r="C622" s="16" t="s">
        <v>1867</v>
      </c>
      <c r="D622" s="2" t="s">
        <v>1542</v>
      </c>
      <c r="E622" s="3">
        <v>38578</v>
      </c>
      <c r="F622" s="2" t="s">
        <v>32</v>
      </c>
      <c r="G622" s="2" t="s">
        <v>32</v>
      </c>
      <c r="H622" s="2" t="s">
        <v>32</v>
      </c>
      <c r="I622" s="2" t="s">
        <v>1053</v>
      </c>
      <c r="J622" s="2" t="s">
        <v>1052</v>
      </c>
      <c r="K622" s="2" t="s">
        <v>1558</v>
      </c>
      <c r="L622" s="17" t="s">
        <v>1567</v>
      </c>
      <c r="M622" s="5" t="s">
        <v>1572</v>
      </c>
      <c r="N622" s="19" t="s">
        <v>1578</v>
      </c>
      <c r="O622" s="20">
        <f ca="1">DATEDIF(Addmisson[[#This Row],[Student_DOB]],TODAY(),"y")</f>
        <v>21</v>
      </c>
      <c r="P622" s="20" t="str">
        <f>TEXT(Addmisson[[#This Row],[Admission_Date]],"mmmm")</f>
        <v>September</v>
      </c>
      <c r="Q622" s="20">
        <f>YEAR(Addmisson[[#This Row],[Admission_Date]])</f>
        <v>2026</v>
      </c>
    </row>
    <row r="623" spans="1:17" x14ac:dyDescent="0.25">
      <c r="A623" s="14" t="s">
        <v>1713</v>
      </c>
      <c r="B623" s="15">
        <v>46293</v>
      </c>
      <c r="C623" s="16" t="s">
        <v>1868</v>
      </c>
      <c r="D623" s="2" t="s">
        <v>1543</v>
      </c>
      <c r="E623" s="3">
        <v>39053</v>
      </c>
      <c r="F623" s="2" t="s">
        <v>129</v>
      </c>
      <c r="G623" s="2" t="s">
        <v>129</v>
      </c>
      <c r="H623" s="2" t="s">
        <v>130</v>
      </c>
      <c r="I623" s="2" t="s">
        <v>1054</v>
      </c>
      <c r="J623" s="2" t="s">
        <v>1052</v>
      </c>
      <c r="K623" s="2" t="s">
        <v>1559</v>
      </c>
      <c r="L623" s="17" t="s">
        <v>1567</v>
      </c>
      <c r="M623" s="5" t="s">
        <v>1573</v>
      </c>
      <c r="N623" s="19" t="s">
        <v>1578</v>
      </c>
      <c r="O623" s="20">
        <f ca="1">DATEDIF(Addmisson[[#This Row],[Student_DOB]],TODAY(),"y")</f>
        <v>19</v>
      </c>
      <c r="P623" s="20" t="str">
        <f>TEXT(Addmisson[[#This Row],[Admission_Date]],"mmmm")</f>
        <v>September</v>
      </c>
      <c r="Q623" s="20">
        <f>YEAR(Addmisson[[#This Row],[Admission_Date]])</f>
        <v>2026</v>
      </c>
    </row>
    <row r="624" spans="1:17" x14ac:dyDescent="0.25">
      <c r="A624" s="14" t="s">
        <v>1714</v>
      </c>
      <c r="B624" s="15">
        <v>46294</v>
      </c>
      <c r="C624" s="16" t="s">
        <v>1869</v>
      </c>
      <c r="D624" s="2" t="s">
        <v>1544</v>
      </c>
      <c r="E624" s="15">
        <v>39028</v>
      </c>
      <c r="F624" s="2" t="s">
        <v>27</v>
      </c>
      <c r="G624" s="2" t="s">
        <v>27</v>
      </c>
      <c r="H624" s="2" t="s">
        <v>131</v>
      </c>
      <c r="I624" s="2" t="s">
        <v>1055</v>
      </c>
      <c r="J624" s="2" t="s">
        <v>1055</v>
      </c>
      <c r="K624" s="2" t="s">
        <v>1560</v>
      </c>
      <c r="L624" s="17" t="s">
        <v>1567</v>
      </c>
      <c r="M624" s="5" t="s">
        <v>1574</v>
      </c>
      <c r="N624" s="19" t="s">
        <v>1578</v>
      </c>
      <c r="O624" s="20">
        <f ca="1">DATEDIF(Addmisson[[#This Row],[Student_DOB]],TODAY(),"y")</f>
        <v>19</v>
      </c>
      <c r="P624" s="20" t="str">
        <f>TEXT(Addmisson[[#This Row],[Admission_Date]],"mmmm")</f>
        <v>September</v>
      </c>
      <c r="Q624" s="20">
        <f>YEAR(Addmisson[[#This Row],[Admission_Date]])</f>
        <v>2026</v>
      </c>
    </row>
    <row r="625" spans="1:17" x14ac:dyDescent="0.25">
      <c r="A625" s="14" t="s">
        <v>1715</v>
      </c>
      <c r="B625" s="15">
        <v>46295</v>
      </c>
      <c r="C625" s="16" t="s">
        <v>1870</v>
      </c>
      <c r="D625" s="2" t="s">
        <v>1545</v>
      </c>
      <c r="E625" s="3">
        <v>38578</v>
      </c>
      <c r="F625" s="2" t="s">
        <v>148</v>
      </c>
      <c r="G625" s="2" t="s">
        <v>148</v>
      </c>
      <c r="H625" s="2" t="s">
        <v>148</v>
      </c>
      <c r="I625" s="2" t="s">
        <v>16</v>
      </c>
      <c r="J625" s="2" t="s">
        <v>1056</v>
      </c>
      <c r="K625" s="17" t="s">
        <v>1564</v>
      </c>
      <c r="L625" s="17" t="s">
        <v>1567</v>
      </c>
      <c r="M625" s="5" t="s">
        <v>1576</v>
      </c>
      <c r="N625" s="19" t="s">
        <v>1578</v>
      </c>
      <c r="O625" s="20">
        <f ca="1">DATEDIF(Addmisson[[#This Row],[Student_DOB]],TODAY(),"y")</f>
        <v>21</v>
      </c>
      <c r="P625" s="20" t="str">
        <f>TEXT(Addmisson[[#This Row],[Admission_Date]],"mmmm")</f>
        <v>September</v>
      </c>
      <c r="Q625" s="20">
        <f>YEAR(Addmisson[[#This Row],[Admission_Date]])</f>
        <v>2026</v>
      </c>
    </row>
    <row r="626" spans="1:17" x14ac:dyDescent="0.25">
      <c r="A626" s="14" t="s">
        <v>1716</v>
      </c>
      <c r="B626" s="15">
        <v>46296</v>
      </c>
      <c r="C626" s="16" t="s">
        <v>1871</v>
      </c>
      <c r="D626" s="2" t="s">
        <v>1546</v>
      </c>
      <c r="E626" s="3">
        <v>39053</v>
      </c>
      <c r="F626" s="2" t="s">
        <v>14</v>
      </c>
      <c r="G626" s="2" t="s">
        <v>14</v>
      </c>
      <c r="H626" s="2" t="s">
        <v>132</v>
      </c>
      <c r="I626" s="2" t="s">
        <v>1057</v>
      </c>
      <c r="J626" s="2" t="s">
        <v>1058</v>
      </c>
      <c r="K626" s="2" t="s">
        <v>1558</v>
      </c>
      <c r="L626" s="17" t="s">
        <v>1567</v>
      </c>
      <c r="M626" s="5" t="s">
        <v>1577</v>
      </c>
      <c r="N626" s="19" t="s">
        <v>1578</v>
      </c>
      <c r="O626" s="20">
        <f ca="1">DATEDIF(Addmisson[[#This Row],[Student_DOB]],TODAY(),"y")</f>
        <v>19</v>
      </c>
      <c r="P626" s="20" t="str">
        <f>TEXT(Addmisson[[#This Row],[Admission_Date]],"mmmm")</f>
        <v>October</v>
      </c>
      <c r="Q626" s="20">
        <f>YEAR(Addmisson[[#This Row],[Admission_Date]])</f>
        <v>2026</v>
      </c>
    </row>
    <row r="627" spans="1:17" x14ac:dyDescent="0.25">
      <c r="A627" s="14" t="s">
        <v>1717</v>
      </c>
      <c r="B627" s="15">
        <v>46297</v>
      </c>
      <c r="C627" s="16" t="s">
        <v>1872</v>
      </c>
      <c r="D627" s="2" t="s">
        <v>1547</v>
      </c>
      <c r="E627" s="15">
        <v>39028</v>
      </c>
      <c r="F627" s="2" t="s">
        <v>127</v>
      </c>
      <c r="G627" s="2" t="s">
        <v>127</v>
      </c>
      <c r="H627" s="2" t="s">
        <v>133</v>
      </c>
      <c r="I627" s="17" t="s">
        <v>1057</v>
      </c>
      <c r="J627" s="17" t="s">
        <v>1058</v>
      </c>
      <c r="K627" s="2" t="s">
        <v>1559</v>
      </c>
      <c r="L627" s="17" t="s">
        <v>1567</v>
      </c>
      <c r="M627" s="18" t="s">
        <v>1575</v>
      </c>
      <c r="N627" s="19" t="s">
        <v>1578</v>
      </c>
      <c r="O627" s="20">
        <f ca="1">DATEDIF(Addmisson[[#This Row],[Student_DOB]],TODAY(),"y")</f>
        <v>19</v>
      </c>
      <c r="P627" s="20" t="str">
        <f>TEXT(Addmisson[[#This Row],[Admission_Date]],"mmmm")</f>
        <v>October</v>
      </c>
      <c r="Q627" s="20">
        <f>YEAR(Addmisson[[#This Row],[Admission_Date]])</f>
        <v>2026</v>
      </c>
    </row>
    <row r="628" spans="1:17" x14ac:dyDescent="0.25">
      <c r="A628" s="14" t="s">
        <v>1718</v>
      </c>
      <c r="B628" s="15">
        <v>46298</v>
      </c>
      <c r="C628" s="16" t="s">
        <v>1873</v>
      </c>
      <c r="D628" s="2" t="s">
        <v>1548</v>
      </c>
      <c r="E628" s="3">
        <v>38578</v>
      </c>
      <c r="F628" s="2" t="s">
        <v>138</v>
      </c>
      <c r="G628" s="2" t="s">
        <v>138</v>
      </c>
      <c r="H628" s="2" t="s">
        <v>138</v>
      </c>
      <c r="I628" s="2" t="s">
        <v>1051</v>
      </c>
      <c r="J628" s="2" t="s">
        <v>1052</v>
      </c>
      <c r="K628" s="2" t="s">
        <v>1560</v>
      </c>
      <c r="L628" s="17" t="s">
        <v>1567</v>
      </c>
      <c r="M628" s="5" t="s">
        <v>1570</v>
      </c>
      <c r="N628" s="19" t="s">
        <v>1578</v>
      </c>
      <c r="O628" s="20">
        <f ca="1">DATEDIF(Addmisson[[#This Row],[Student_DOB]],TODAY(),"y")</f>
        <v>21</v>
      </c>
      <c r="P628" s="20" t="str">
        <f>TEXT(Addmisson[[#This Row],[Admission_Date]],"mmmm")</f>
        <v>October</v>
      </c>
      <c r="Q628" s="20">
        <f>YEAR(Addmisson[[#This Row],[Admission_Date]])</f>
        <v>2026</v>
      </c>
    </row>
    <row r="629" spans="1:17" x14ac:dyDescent="0.25">
      <c r="A629" s="14" t="s">
        <v>1719</v>
      </c>
      <c r="B629" s="15">
        <v>46299</v>
      </c>
      <c r="C629" s="16" t="s">
        <v>1874</v>
      </c>
      <c r="D629" s="2" t="s">
        <v>1549</v>
      </c>
      <c r="E629" s="3">
        <v>39053</v>
      </c>
      <c r="F629" s="17" t="s">
        <v>14</v>
      </c>
      <c r="G629" s="17" t="s">
        <v>14</v>
      </c>
      <c r="H629" s="17" t="s">
        <v>15</v>
      </c>
      <c r="I629" s="2" t="s">
        <v>1053</v>
      </c>
      <c r="J629" s="2" t="s">
        <v>1052</v>
      </c>
      <c r="K629" s="17" t="s">
        <v>1564</v>
      </c>
      <c r="L629" s="17" t="s">
        <v>1567</v>
      </c>
      <c r="M629" s="5" t="s">
        <v>1575</v>
      </c>
      <c r="N629" s="19" t="s">
        <v>1578</v>
      </c>
      <c r="O629" s="20">
        <f ca="1">DATEDIF(Addmisson[[#This Row],[Student_DOB]],TODAY(),"y")</f>
        <v>19</v>
      </c>
      <c r="P629" s="20" t="str">
        <f>TEXT(Addmisson[[#This Row],[Admission_Date]],"mmmm")</f>
        <v>October</v>
      </c>
      <c r="Q629" s="20">
        <f>YEAR(Addmisson[[#This Row],[Admission_Date]])</f>
        <v>2026</v>
      </c>
    </row>
    <row r="630" spans="1:17" x14ac:dyDescent="0.25">
      <c r="A630" s="14" t="s">
        <v>1720</v>
      </c>
      <c r="B630" s="15">
        <v>46300</v>
      </c>
      <c r="C630" s="16" t="s">
        <v>1875</v>
      </c>
      <c r="D630" s="2" t="s">
        <v>1550</v>
      </c>
      <c r="E630" s="15">
        <v>39393</v>
      </c>
      <c r="F630" s="2" t="s">
        <v>32</v>
      </c>
      <c r="G630" s="2" t="s">
        <v>32</v>
      </c>
      <c r="H630" s="2" t="s">
        <v>32</v>
      </c>
      <c r="I630" s="2" t="s">
        <v>1054</v>
      </c>
      <c r="J630" s="2" t="s">
        <v>1052</v>
      </c>
      <c r="K630" s="2" t="s">
        <v>1558</v>
      </c>
      <c r="L630" s="17" t="s">
        <v>1567</v>
      </c>
      <c r="M630" s="5" t="s">
        <v>1571</v>
      </c>
      <c r="N630" s="19" t="s">
        <v>1578</v>
      </c>
      <c r="O630" s="20">
        <f ca="1">DATEDIF(Addmisson[[#This Row],[Student_DOB]],TODAY(),"y")</f>
        <v>18</v>
      </c>
      <c r="P630" s="20" t="str">
        <f>TEXT(Addmisson[[#This Row],[Admission_Date]],"mmmm")</f>
        <v>October</v>
      </c>
      <c r="Q630" s="20">
        <f>YEAR(Addmisson[[#This Row],[Admission_Date]])</f>
        <v>2026</v>
      </c>
    </row>
    <row r="631" spans="1:17" x14ac:dyDescent="0.25">
      <c r="A631" s="14" t="s">
        <v>1721</v>
      </c>
      <c r="B631" s="15">
        <v>46301</v>
      </c>
      <c r="C631" s="16" t="s">
        <v>1876</v>
      </c>
      <c r="D631" s="2" t="s">
        <v>1551</v>
      </c>
      <c r="E631" s="3">
        <v>38578</v>
      </c>
      <c r="F631" s="2" t="s">
        <v>129</v>
      </c>
      <c r="G631" s="2" t="s">
        <v>129</v>
      </c>
      <c r="H631" s="2" t="s">
        <v>130</v>
      </c>
      <c r="I631" s="2" t="s">
        <v>1055</v>
      </c>
      <c r="J631" s="2" t="s">
        <v>1055</v>
      </c>
      <c r="K631" s="2" t="s">
        <v>1559</v>
      </c>
      <c r="L631" s="17" t="s">
        <v>1567</v>
      </c>
      <c r="M631" s="5" t="s">
        <v>1572</v>
      </c>
      <c r="N631" s="19" t="s">
        <v>1578</v>
      </c>
      <c r="O631" s="20">
        <f ca="1">DATEDIF(Addmisson[[#This Row],[Student_DOB]],TODAY(),"y")</f>
        <v>21</v>
      </c>
      <c r="P631" s="20" t="str">
        <f>TEXT(Addmisson[[#This Row],[Admission_Date]],"mmmm")</f>
        <v>October</v>
      </c>
      <c r="Q631" s="20">
        <f>YEAR(Addmisson[[#This Row],[Admission_Date]])</f>
        <v>2026</v>
      </c>
    </row>
    <row r="632" spans="1:17" x14ac:dyDescent="0.25">
      <c r="A632" s="14" t="s">
        <v>1722</v>
      </c>
      <c r="B632" s="15">
        <v>46302</v>
      </c>
      <c r="C632" s="16" t="s">
        <v>1877</v>
      </c>
      <c r="D632" s="2" t="s">
        <v>1552</v>
      </c>
      <c r="E632" s="3">
        <v>39053</v>
      </c>
      <c r="F632" s="2" t="s">
        <v>27</v>
      </c>
      <c r="G632" s="2" t="s">
        <v>27</v>
      </c>
      <c r="H632" s="2" t="s">
        <v>131</v>
      </c>
      <c r="I632" s="2" t="s">
        <v>16</v>
      </c>
      <c r="J632" s="2" t="s">
        <v>1056</v>
      </c>
      <c r="K632" s="2" t="s">
        <v>1560</v>
      </c>
      <c r="L632" s="17" t="s">
        <v>1567</v>
      </c>
      <c r="M632" s="5" t="s">
        <v>1573</v>
      </c>
      <c r="N632" s="19" t="s">
        <v>1578</v>
      </c>
      <c r="O632" s="20">
        <f ca="1">DATEDIF(Addmisson[[#This Row],[Student_DOB]],TODAY(),"y")</f>
        <v>19</v>
      </c>
      <c r="P632" s="20" t="str">
        <f>TEXT(Addmisson[[#This Row],[Admission_Date]],"mmmm")</f>
        <v>October</v>
      </c>
      <c r="Q632" s="20">
        <f>YEAR(Addmisson[[#This Row],[Admission_Date]])</f>
        <v>2026</v>
      </c>
    </row>
    <row r="633" spans="1:17" x14ac:dyDescent="0.25">
      <c r="A633" s="14" t="s">
        <v>1723</v>
      </c>
      <c r="B633" s="15">
        <v>46303</v>
      </c>
      <c r="C633" s="16" t="s">
        <v>1878</v>
      </c>
      <c r="D633" s="2" t="s">
        <v>1553</v>
      </c>
      <c r="E633" s="15">
        <v>39028</v>
      </c>
      <c r="F633" s="2" t="s">
        <v>148</v>
      </c>
      <c r="G633" s="2" t="s">
        <v>148</v>
      </c>
      <c r="H633" s="2" t="s">
        <v>148</v>
      </c>
      <c r="I633" s="2" t="s">
        <v>1057</v>
      </c>
      <c r="J633" s="2" t="s">
        <v>1058</v>
      </c>
      <c r="K633" s="17" t="s">
        <v>1564</v>
      </c>
      <c r="L633" s="17" t="s">
        <v>1567</v>
      </c>
      <c r="M633" s="5" t="s">
        <v>1574</v>
      </c>
      <c r="N633" s="19" t="s">
        <v>1578</v>
      </c>
      <c r="O633" s="20">
        <f ca="1">DATEDIF(Addmisson[[#This Row],[Student_DOB]],TODAY(),"y")</f>
        <v>19</v>
      </c>
      <c r="P633" s="20" t="str">
        <f>TEXT(Addmisson[[#This Row],[Admission_Date]],"mmmm")</f>
        <v>October</v>
      </c>
      <c r="Q633" s="20">
        <f>YEAR(Addmisson[[#This Row],[Admission_Date]])</f>
        <v>2026</v>
      </c>
    </row>
    <row r="634" spans="1:17" x14ac:dyDescent="0.25">
      <c r="A634" s="14" t="s">
        <v>1724</v>
      </c>
      <c r="B634" s="15">
        <v>46304</v>
      </c>
      <c r="C634" s="16" t="s">
        <v>1879</v>
      </c>
      <c r="D634" s="2" t="s">
        <v>1554</v>
      </c>
      <c r="E634" s="3">
        <v>38578</v>
      </c>
      <c r="F634" s="2" t="s">
        <v>14</v>
      </c>
      <c r="G634" s="2" t="s">
        <v>14</v>
      </c>
      <c r="H634" s="2" t="s">
        <v>132</v>
      </c>
      <c r="I634" s="17" t="s">
        <v>1057</v>
      </c>
      <c r="J634" s="17" t="s">
        <v>1058</v>
      </c>
      <c r="K634" s="2" t="s">
        <v>1558</v>
      </c>
      <c r="L634" s="17" t="s">
        <v>1567</v>
      </c>
      <c r="M634" s="5" t="s">
        <v>1576</v>
      </c>
      <c r="N634" s="19" t="s">
        <v>1578</v>
      </c>
      <c r="O634" s="20">
        <f ca="1">DATEDIF(Addmisson[[#This Row],[Student_DOB]],TODAY(),"y")</f>
        <v>21</v>
      </c>
      <c r="P634" s="20" t="str">
        <f>TEXT(Addmisson[[#This Row],[Admission_Date]],"mmmm")</f>
        <v>October</v>
      </c>
      <c r="Q634" s="20">
        <f>YEAR(Addmisson[[#This Row],[Admission_Date]])</f>
        <v>2026</v>
      </c>
    </row>
    <row r="635" spans="1:17" x14ac:dyDescent="0.25">
      <c r="A635" s="14" t="s">
        <v>1725</v>
      </c>
      <c r="B635" s="15">
        <v>46305</v>
      </c>
      <c r="C635" s="16" t="s">
        <v>1880</v>
      </c>
      <c r="D635" s="2" t="s">
        <v>1555</v>
      </c>
      <c r="E635" s="3">
        <v>39053</v>
      </c>
      <c r="F635" s="2" t="s">
        <v>127</v>
      </c>
      <c r="G635" s="2" t="s">
        <v>127</v>
      </c>
      <c r="H635" s="2" t="s">
        <v>133</v>
      </c>
      <c r="I635" s="2" t="s">
        <v>1051</v>
      </c>
      <c r="J635" s="2" t="s">
        <v>1052</v>
      </c>
      <c r="K635" s="2" t="s">
        <v>1559</v>
      </c>
      <c r="L635" s="17" t="s">
        <v>1567</v>
      </c>
      <c r="M635" s="5" t="s">
        <v>1577</v>
      </c>
      <c r="N635" s="19" t="s">
        <v>1578</v>
      </c>
      <c r="O635" s="20">
        <f ca="1">DATEDIF(Addmisson[[#This Row],[Student_DOB]],TODAY(),"y")</f>
        <v>19</v>
      </c>
      <c r="P635" s="20" t="str">
        <f>TEXT(Addmisson[[#This Row],[Admission_Date]],"mmmm")</f>
        <v>October</v>
      </c>
      <c r="Q635" s="20">
        <f>YEAR(Addmisson[[#This Row],[Admission_Date]])</f>
        <v>2026</v>
      </c>
    </row>
    <row r="636" spans="1:17" x14ac:dyDescent="0.25">
      <c r="A636" s="14" t="s">
        <v>1726</v>
      </c>
      <c r="B636" s="15">
        <v>46306</v>
      </c>
      <c r="C636" s="16" t="s">
        <v>1881</v>
      </c>
      <c r="D636" s="2" t="s">
        <v>1556</v>
      </c>
      <c r="E636" s="15">
        <v>39028</v>
      </c>
      <c r="F636" s="2" t="s">
        <v>138</v>
      </c>
      <c r="G636" s="2" t="s">
        <v>138</v>
      </c>
      <c r="H636" s="2" t="s">
        <v>138</v>
      </c>
      <c r="I636" s="2" t="s">
        <v>1053</v>
      </c>
      <c r="J636" s="2" t="s">
        <v>1052</v>
      </c>
      <c r="K636" s="2" t="s">
        <v>1560</v>
      </c>
      <c r="L636" s="17" t="s">
        <v>1567</v>
      </c>
      <c r="M636" s="18" t="s">
        <v>1575</v>
      </c>
      <c r="N636" s="19" t="s">
        <v>1578</v>
      </c>
      <c r="O636" s="20">
        <f ca="1">DATEDIF(Addmisson[[#This Row],[Student_DOB]],TODAY(),"y")</f>
        <v>19</v>
      </c>
      <c r="P636" s="20" t="str">
        <f>TEXT(Addmisson[[#This Row],[Admission_Date]],"mmmm")</f>
        <v>October</v>
      </c>
      <c r="Q636" s="20">
        <f>YEAR(Addmisson[[#This Row],[Admission_Date]])</f>
        <v>2026</v>
      </c>
    </row>
    <row r="637" spans="1:17" x14ac:dyDescent="0.25">
      <c r="A637" s="14" t="s">
        <v>1727</v>
      </c>
      <c r="B637" s="15">
        <v>46307</v>
      </c>
      <c r="C637" s="16" t="s">
        <v>1882</v>
      </c>
      <c r="D637" s="17" t="s">
        <v>1581</v>
      </c>
      <c r="E637" s="3">
        <v>38578</v>
      </c>
      <c r="F637" s="17" t="s">
        <v>14</v>
      </c>
      <c r="G637" s="17" t="s">
        <v>14</v>
      </c>
      <c r="H637" s="17" t="s">
        <v>15</v>
      </c>
      <c r="I637" s="2" t="s">
        <v>1054</v>
      </c>
      <c r="J637" s="2" t="s">
        <v>1052</v>
      </c>
      <c r="K637" s="17" t="s">
        <v>1564</v>
      </c>
      <c r="L637" s="17" t="s">
        <v>1567</v>
      </c>
      <c r="M637" s="5" t="s">
        <v>1570</v>
      </c>
      <c r="N637" s="19" t="s">
        <v>1578</v>
      </c>
      <c r="O637" s="20">
        <f ca="1">DATEDIF(Addmisson[[#This Row],[Student_DOB]],TODAY(),"y")</f>
        <v>21</v>
      </c>
      <c r="P637" s="20" t="str">
        <f>TEXT(Addmisson[[#This Row],[Admission_Date]],"mmmm")</f>
        <v>October</v>
      </c>
      <c r="Q637" s="20">
        <f>YEAR(Addmisson[[#This Row],[Admission_Date]])</f>
        <v>2026</v>
      </c>
    </row>
    <row r="638" spans="1:17" x14ac:dyDescent="0.25">
      <c r="A638" s="14" t="s">
        <v>1728</v>
      </c>
      <c r="B638" s="15">
        <v>46308</v>
      </c>
      <c r="C638" s="16" t="s">
        <v>1883</v>
      </c>
      <c r="D638" s="2" t="s">
        <v>1541</v>
      </c>
      <c r="E638" s="3">
        <v>39784</v>
      </c>
      <c r="F638" s="2" t="s">
        <v>32</v>
      </c>
      <c r="G638" s="2" t="s">
        <v>32</v>
      </c>
      <c r="H638" s="2" t="s">
        <v>32</v>
      </c>
      <c r="I638" s="2" t="s">
        <v>1055</v>
      </c>
      <c r="J638" s="2" t="s">
        <v>1055</v>
      </c>
      <c r="K638" s="2" t="s">
        <v>1558</v>
      </c>
      <c r="L638" s="17" t="s">
        <v>1567</v>
      </c>
      <c r="M638" s="5" t="s">
        <v>1575</v>
      </c>
      <c r="N638" s="19" t="s">
        <v>1578</v>
      </c>
      <c r="O638" s="20">
        <f ca="1">DATEDIF(Addmisson[[#This Row],[Student_DOB]],TODAY(),"y")</f>
        <v>17</v>
      </c>
      <c r="P638" s="20" t="str">
        <f>TEXT(Addmisson[[#This Row],[Admission_Date]],"mmmm")</f>
        <v>October</v>
      </c>
      <c r="Q638" s="20">
        <f>YEAR(Addmisson[[#This Row],[Admission_Date]])</f>
        <v>2026</v>
      </c>
    </row>
    <row r="639" spans="1:17" x14ac:dyDescent="0.25">
      <c r="A639" s="14" t="s">
        <v>1729</v>
      </c>
      <c r="B639" s="15">
        <v>46309</v>
      </c>
      <c r="C639" s="16" t="s">
        <v>1884</v>
      </c>
      <c r="D639" s="2" t="s">
        <v>1542</v>
      </c>
      <c r="E639" s="15">
        <v>39028</v>
      </c>
      <c r="F639" s="2" t="s">
        <v>129</v>
      </c>
      <c r="G639" s="2" t="s">
        <v>129</v>
      </c>
      <c r="H639" s="2" t="s">
        <v>130</v>
      </c>
      <c r="I639" s="2" t="s">
        <v>16</v>
      </c>
      <c r="J639" s="2" t="s">
        <v>1056</v>
      </c>
      <c r="K639" s="2" t="s">
        <v>1559</v>
      </c>
      <c r="L639" s="17" t="s">
        <v>1567</v>
      </c>
      <c r="M639" s="5" t="s">
        <v>1571</v>
      </c>
      <c r="N639" s="19" t="s">
        <v>1578</v>
      </c>
      <c r="O639" s="20">
        <f ca="1">DATEDIF(Addmisson[[#This Row],[Student_DOB]],TODAY(),"y")</f>
        <v>19</v>
      </c>
      <c r="P639" s="20" t="str">
        <f>TEXT(Addmisson[[#This Row],[Admission_Date]],"mmmm")</f>
        <v>October</v>
      </c>
      <c r="Q639" s="20">
        <f>YEAR(Addmisson[[#This Row],[Admission_Date]])</f>
        <v>2026</v>
      </c>
    </row>
    <row r="640" spans="1:17" x14ac:dyDescent="0.25">
      <c r="A640" s="14" t="s">
        <v>1730</v>
      </c>
      <c r="B640" s="15">
        <v>46310</v>
      </c>
      <c r="C640" s="16" t="s">
        <v>1885</v>
      </c>
      <c r="D640" s="2" t="s">
        <v>1543</v>
      </c>
      <c r="E640" s="3">
        <v>38578</v>
      </c>
      <c r="F640" s="2" t="s">
        <v>27</v>
      </c>
      <c r="G640" s="2" t="s">
        <v>27</v>
      </c>
      <c r="H640" s="2" t="s">
        <v>131</v>
      </c>
      <c r="I640" s="2" t="s">
        <v>1057</v>
      </c>
      <c r="J640" s="2" t="s">
        <v>1058</v>
      </c>
      <c r="K640" s="2" t="s">
        <v>1560</v>
      </c>
      <c r="L640" s="17" t="s">
        <v>1567</v>
      </c>
      <c r="M640" s="5" t="s">
        <v>1572</v>
      </c>
      <c r="N640" s="19" t="s">
        <v>1578</v>
      </c>
      <c r="O640" s="20">
        <f ca="1">DATEDIF(Addmisson[[#This Row],[Student_DOB]],TODAY(),"y")</f>
        <v>21</v>
      </c>
      <c r="P640" s="20" t="str">
        <f>TEXT(Addmisson[[#This Row],[Admission_Date]],"mmmm")</f>
        <v>October</v>
      </c>
      <c r="Q640" s="20">
        <f>YEAR(Addmisson[[#This Row],[Admission_Date]])</f>
        <v>2026</v>
      </c>
    </row>
    <row r="641" spans="1:17" x14ac:dyDescent="0.25">
      <c r="A641" s="14" t="s">
        <v>1731</v>
      </c>
      <c r="B641" s="15">
        <v>46311</v>
      </c>
      <c r="C641" s="16" t="s">
        <v>1886</v>
      </c>
      <c r="D641" s="2" t="s">
        <v>1544</v>
      </c>
      <c r="E641" s="3">
        <v>39053</v>
      </c>
      <c r="F641" s="2" t="s">
        <v>148</v>
      </c>
      <c r="G641" s="2" t="s">
        <v>148</v>
      </c>
      <c r="H641" s="2" t="s">
        <v>148</v>
      </c>
      <c r="I641" s="17" t="s">
        <v>1057</v>
      </c>
      <c r="J641" s="17" t="s">
        <v>1058</v>
      </c>
      <c r="K641" s="17" t="s">
        <v>1564</v>
      </c>
      <c r="L641" s="17" t="s">
        <v>1567</v>
      </c>
      <c r="M641" s="5" t="s">
        <v>1573</v>
      </c>
      <c r="N641" s="19" t="s">
        <v>1578</v>
      </c>
      <c r="O641" s="20">
        <f ca="1">DATEDIF(Addmisson[[#This Row],[Student_DOB]],TODAY(),"y")</f>
        <v>19</v>
      </c>
      <c r="P641" s="20" t="str">
        <f>TEXT(Addmisson[[#This Row],[Admission_Date]],"mmmm")</f>
        <v>October</v>
      </c>
      <c r="Q641" s="20">
        <f>YEAR(Addmisson[[#This Row],[Admission_Date]])</f>
        <v>2026</v>
      </c>
    </row>
    <row r="642" spans="1:17" x14ac:dyDescent="0.25">
      <c r="A642" s="14" t="s">
        <v>1732</v>
      </c>
      <c r="B642" s="15">
        <v>46312</v>
      </c>
      <c r="C642" s="16" t="s">
        <v>1887</v>
      </c>
      <c r="D642" s="2" t="s">
        <v>1545</v>
      </c>
      <c r="E642" s="15">
        <v>39028</v>
      </c>
      <c r="F642" s="2" t="s">
        <v>14</v>
      </c>
      <c r="G642" s="2" t="s">
        <v>14</v>
      </c>
      <c r="H642" s="2" t="s">
        <v>132</v>
      </c>
      <c r="I642" s="2" t="s">
        <v>1051</v>
      </c>
      <c r="J642" s="2" t="s">
        <v>1052</v>
      </c>
      <c r="K642" s="2" t="s">
        <v>1558</v>
      </c>
      <c r="L642" s="17" t="s">
        <v>1567</v>
      </c>
      <c r="M642" s="5" t="s">
        <v>1574</v>
      </c>
      <c r="N642" s="19" t="s">
        <v>1578</v>
      </c>
      <c r="O642" s="20">
        <f ca="1">DATEDIF(Addmisson[[#This Row],[Student_DOB]],TODAY(),"y")</f>
        <v>19</v>
      </c>
      <c r="P642" s="20" t="str">
        <f>TEXT(Addmisson[[#This Row],[Admission_Date]],"mmmm")</f>
        <v>October</v>
      </c>
      <c r="Q642" s="20">
        <f>YEAR(Addmisson[[#This Row],[Admission_Date]])</f>
        <v>2026</v>
      </c>
    </row>
    <row r="643" spans="1:17" x14ac:dyDescent="0.25">
      <c r="A643" s="14" t="s">
        <v>1733</v>
      </c>
      <c r="B643" s="15">
        <v>46313</v>
      </c>
      <c r="C643" s="16" t="s">
        <v>1888</v>
      </c>
      <c r="D643" s="2" t="s">
        <v>1546</v>
      </c>
      <c r="E643" s="3">
        <v>38578</v>
      </c>
      <c r="F643" s="2" t="s">
        <v>127</v>
      </c>
      <c r="G643" s="2" t="s">
        <v>127</v>
      </c>
      <c r="H643" s="2" t="s">
        <v>133</v>
      </c>
      <c r="I643" s="2" t="s">
        <v>1053</v>
      </c>
      <c r="J643" s="2" t="s">
        <v>1052</v>
      </c>
      <c r="K643" s="2" t="s">
        <v>1559</v>
      </c>
      <c r="L643" s="17" t="s">
        <v>1567</v>
      </c>
      <c r="M643" s="5" t="s">
        <v>1576</v>
      </c>
      <c r="N643" s="19" t="s">
        <v>1578</v>
      </c>
      <c r="O643" s="20">
        <f ca="1">DATEDIF(Addmisson[[#This Row],[Student_DOB]],TODAY(),"y")</f>
        <v>21</v>
      </c>
      <c r="P643" s="20" t="str">
        <f>TEXT(Addmisson[[#This Row],[Admission_Date]],"mmmm")</f>
        <v>October</v>
      </c>
      <c r="Q643" s="20">
        <f>YEAR(Addmisson[[#This Row],[Admission_Date]])</f>
        <v>2026</v>
      </c>
    </row>
    <row r="644" spans="1:17" x14ac:dyDescent="0.25">
      <c r="A644" s="14" t="s">
        <v>1734</v>
      </c>
      <c r="B644" s="15">
        <v>46314</v>
      </c>
      <c r="C644" s="16" t="s">
        <v>1889</v>
      </c>
      <c r="D644" s="2" t="s">
        <v>1547</v>
      </c>
      <c r="E644" s="3">
        <v>39053</v>
      </c>
      <c r="F644" s="2" t="s">
        <v>138</v>
      </c>
      <c r="G644" s="2" t="s">
        <v>138</v>
      </c>
      <c r="H644" s="2" t="s">
        <v>138</v>
      </c>
      <c r="I644" s="2" t="s">
        <v>1054</v>
      </c>
      <c r="J644" s="2" t="s">
        <v>1052</v>
      </c>
      <c r="K644" s="2" t="s">
        <v>1560</v>
      </c>
      <c r="L644" s="17" t="s">
        <v>1567</v>
      </c>
      <c r="M644" s="5" t="s">
        <v>1577</v>
      </c>
      <c r="N644" s="19" t="s">
        <v>1578</v>
      </c>
      <c r="O644" s="20">
        <f ca="1">DATEDIF(Addmisson[[#This Row],[Student_DOB]],TODAY(),"y")</f>
        <v>19</v>
      </c>
      <c r="P644" s="20" t="str">
        <f>TEXT(Addmisson[[#This Row],[Admission_Date]],"mmmm")</f>
        <v>October</v>
      </c>
      <c r="Q644" s="20">
        <f>YEAR(Addmisson[[#This Row],[Admission_Date]])</f>
        <v>2026</v>
      </c>
    </row>
    <row r="645" spans="1:17" x14ac:dyDescent="0.25">
      <c r="A645" s="14" t="s">
        <v>1735</v>
      </c>
      <c r="B645" s="15">
        <v>46315</v>
      </c>
      <c r="C645" s="16" t="s">
        <v>1890</v>
      </c>
      <c r="D645" s="2" t="s">
        <v>1548</v>
      </c>
      <c r="E645" s="15">
        <v>39028</v>
      </c>
      <c r="F645" s="17" t="s">
        <v>14</v>
      </c>
      <c r="G645" s="17" t="s">
        <v>14</v>
      </c>
      <c r="H645" s="17" t="s">
        <v>15</v>
      </c>
      <c r="I645" s="2" t="s">
        <v>1055</v>
      </c>
      <c r="J645" s="2" t="s">
        <v>1055</v>
      </c>
      <c r="K645" s="17" t="s">
        <v>1564</v>
      </c>
      <c r="L645" s="17" t="s">
        <v>1567</v>
      </c>
      <c r="M645" s="18" t="s">
        <v>1575</v>
      </c>
      <c r="N645" s="19" t="s">
        <v>1578</v>
      </c>
      <c r="O645" s="20">
        <f ca="1">DATEDIF(Addmisson[[#This Row],[Student_DOB]],TODAY(),"y")</f>
        <v>19</v>
      </c>
      <c r="P645" s="20" t="str">
        <f>TEXT(Addmisson[[#This Row],[Admission_Date]],"mmmm")</f>
        <v>October</v>
      </c>
      <c r="Q645" s="20">
        <f>YEAR(Addmisson[[#This Row],[Admission_Date]])</f>
        <v>2026</v>
      </c>
    </row>
    <row r="646" spans="1:17" x14ac:dyDescent="0.25">
      <c r="A646" s="14" t="s">
        <v>1736</v>
      </c>
      <c r="B646" s="15">
        <v>46316</v>
      </c>
      <c r="C646" s="16" t="s">
        <v>1891</v>
      </c>
      <c r="D646" s="2" t="s">
        <v>1549</v>
      </c>
      <c r="E646" s="3">
        <v>38578</v>
      </c>
      <c r="F646" s="2" t="s">
        <v>32</v>
      </c>
      <c r="G646" s="2" t="s">
        <v>32</v>
      </c>
      <c r="H646" s="2" t="s">
        <v>32</v>
      </c>
      <c r="I646" s="2" t="s">
        <v>16</v>
      </c>
      <c r="J646" s="2" t="s">
        <v>1056</v>
      </c>
      <c r="K646" s="17" t="s">
        <v>1564</v>
      </c>
      <c r="L646" s="17" t="s">
        <v>1567</v>
      </c>
      <c r="M646" s="5" t="s">
        <v>1570</v>
      </c>
      <c r="N646" s="19" t="s">
        <v>1578</v>
      </c>
      <c r="O646" s="20">
        <f ca="1">DATEDIF(Addmisson[[#This Row],[Student_DOB]],TODAY(),"y")</f>
        <v>21</v>
      </c>
      <c r="P646" s="20" t="str">
        <f>TEXT(Addmisson[[#This Row],[Admission_Date]],"mmmm")</f>
        <v>October</v>
      </c>
      <c r="Q646" s="20">
        <f>YEAR(Addmisson[[#This Row],[Admission_Date]])</f>
        <v>2026</v>
      </c>
    </row>
    <row r="647" spans="1:17" x14ac:dyDescent="0.25">
      <c r="A647" s="14" t="s">
        <v>1737</v>
      </c>
      <c r="B647" s="15">
        <v>46317</v>
      </c>
      <c r="C647" s="16" t="s">
        <v>1892</v>
      </c>
      <c r="D647" s="2" t="s">
        <v>1550</v>
      </c>
      <c r="E647" s="3">
        <v>39418</v>
      </c>
      <c r="F647" s="2" t="s">
        <v>129</v>
      </c>
      <c r="G647" s="2" t="s">
        <v>129</v>
      </c>
      <c r="H647" s="2" t="s">
        <v>130</v>
      </c>
      <c r="I647" s="2" t="s">
        <v>1057</v>
      </c>
      <c r="J647" s="2" t="s">
        <v>1058</v>
      </c>
      <c r="K647" s="17" t="s">
        <v>1564</v>
      </c>
      <c r="L647" s="17" t="s">
        <v>1567</v>
      </c>
      <c r="M647" s="5" t="s">
        <v>1575</v>
      </c>
      <c r="N647" s="19" t="s">
        <v>1578</v>
      </c>
      <c r="O647" s="20">
        <f ca="1">DATEDIF(Addmisson[[#This Row],[Student_DOB]],TODAY(),"y")</f>
        <v>18</v>
      </c>
      <c r="P647" s="20" t="str">
        <f>TEXT(Addmisson[[#This Row],[Admission_Date]],"mmmm")</f>
        <v>October</v>
      </c>
      <c r="Q647" s="20">
        <f>YEAR(Addmisson[[#This Row],[Admission_Date]])</f>
        <v>2026</v>
      </c>
    </row>
    <row r="648" spans="1:17" x14ac:dyDescent="0.25">
      <c r="A648" s="14" t="s">
        <v>1738</v>
      </c>
      <c r="B648" s="15">
        <v>46318</v>
      </c>
      <c r="C648" s="16" t="s">
        <v>1893</v>
      </c>
      <c r="D648" s="2" t="s">
        <v>1551</v>
      </c>
      <c r="E648" s="15">
        <v>39028</v>
      </c>
      <c r="F648" s="2" t="s">
        <v>27</v>
      </c>
      <c r="G648" s="2" t="s">
        <v>27</v>
      </c>
      <c r="H648" s="2" t="s">
        <v>131</v>
      </c>
      <c r="I648" s="17" t="s">
        <v>1057</v>
      </c>
      <c r="J648" s="17" t="s">
        <v>1058</v>
      </c>
      <c r="K648" s="17" t="s">
        <v>1564</v>
      </c>
      <c r="L648" s="17" t="s">
        <v>1567</v>
      </c>
      <c r="M648" s="5" t="s">
        <v>1571</v>
      </c>
      <c r="N648" s="19" t="s">
        <v>1578</v>
      </c>
      <c r="O648" s="20">
        <f ca="1">DATEDIF(Addmisson[[#This Row],[Student_DOB]],TODAY(),"y")</f>
        <v>19</v>
      </c>
      <c r="P648" s="20" t="str">
        <f>TEXT(Addmisson[[#This Row],[Admission_Date]],"mmmm")</f>
        <v>October</v>
      </c>
      <c r="Q648" s="20">
        <f>YEAR(Addmisson[[#This Row],[Admission_Date]])</f>
        <v>2026</v>
      </c>
    </row>
    <row r="649" spans="1:17" x14ac:dyDescent="0.25">
      <c r="A649" s="14" t="s">
        <v>1739</v>
      </c>
      <c r="B649" s="15">
        <v>46319</v>
      </c>
      <c r="C649" s="16" t="s">
        <v>1894</v>
      </c>
      <c r="D649" s="2" t="s">
        <v>1552</v>
      </c>
      <c r="E649" s="3">
        <v>38578</v>
      </c>
      <c r="F649" s="2" t="s">
        <v>148</v>
      </c>
      <c r="G649" s="2" t="s">
        <v>148</v>
      </c>
      <c r="H649" s="2" t="s">
        <v>148</v>
      </c>
      <c r="I649" s="2" t="s">
        <v>1051</v>
      </c>
      <c r="J649" s="2" t="s">
        <v>1052</v>
      </c>
      <c r="K649" s="17" t="s">
        <v>1564</v>
      </c>
      <c r="L649" s="17" t="s">
        <v>1567</v>
      </c>
      <c r="M649" s="5" t="s">
        <v>1572</v>
      </c>
      <c r="N649" s="19" t="s">
        <v>1578</v>
      </c>
      <c r="O649" s="20">
        <f ca="1">DATEDIF(Addmisson[[#This Row],[Student_DOB]],TODAY(),"y")</f>
        <v>21</v>
      </c>
      <c r="P649" s="20" t="str">
        <f>TEXT(Addmisson[[#This Row],[Admission_Date]],"mmmm")</f>
        <v>October</v>
      </c>
      <c r="Q649" s="20">
        <f>YEAR(Addmisson[[#This Row],[Admission_Date]])</f>
        <v>2026</v>
      </c>
    </row>
    <row r="650" spans="1:17" x14ac:dyDescent="0.25">
      <c r="A650" s="14" t="s">
        <v>1740</v>
      </c>
      <c r="B650" s="15">
        <v>46320</v>
      </c>
      <c r="C650" s="16" t="s">
        <v>1895</v>
      </c>
      <c r="D650" s="2" t="s">
        <v>1553</v>
      </c>
      <c r="E650" s="3">
        <v>39053</v>
      </c>
      <c r="F650" s="2" t="s">
        <v>14</v>
      </c>
      <c r="G650" s="2" t="s">
        <v>14</v>
      </c>
      <c r="H650" s="2" t="s">
        <v>132</v>
      </c>
      <c r="I650" s="2" t="s">
        <v>1053</v>
      </c>
      <c r="J650" s="2" t="s">
        <v>1052</v>
      </c>
      <c r="K650" s="17" t="s">
        <v>1564</v>
      </c>
      <c r="L650" s="17" t="s">
        <v>1567</v>
      </c>
      <c r="M650" s="5" t="s">
        <v>1573</v>
      </c>
      <c r="N650" s="19" t="s">
        <v>1578</v>
      </c>
      <c r="O650" s="20">
        <f ca="1">DATEDIF(Addmisson[[#This Row],[Student_DOB]],TODAY(),"y")</f>
        <v>19</v>
      </c>
      <c r="P650" s="20" t="str">
        <f>TEXT(Addmisson[[#This Row],[Admission_Date]],"mmmm")</f>
        <v>October</v>
      </c>
      <c r="Q650" s="20">
        <f>YEAR(Addmisson[[#This Row],[Admission_Date]])</f>
        <v>2026</v>
      </c>
    </row>
    <row r="651" spans="1:17" x14ac:dyDescent="0.25">
      <c r="A651" s="14" t="s">
        <v>1741</v>
      </c>
      <c r="B651" s="15">
        <v>46321</v>
      </c>
      <c r="C651" s="16" t="s">
        <v>1896</v>
      </c>
      <c r="D651" s="2" t="s">
        <v>1554</v>
      </c>
      <c r="E651" s="15">
        <v>40124</v>
      </c>
      <c r="F651" s="2" t="s">
        <v>127</v>
      </c>
      <c r="G651" s="2" t="s">
        <v>127</v>
      </c>
      <c r="H651" s="2" t="s">
        <v>133</v>
      </c>
      <c r="I651" s="2" t="s">
        <v>1054</v>
      </c>
      <c r="J651" s="2" t="s">
        <v>1052</v>
      </c>
      <c r="K651" s="2" t="s">
        <v>1559</v>
      </c>
      <c r="L651" s="17" t="s">
        <v>1567</v>
      </c>
      <c r="M651" s="5" t="s">
        <v>1574</v>
      </c>
      <c r="N651" s="19" t="s">
        <v>1578</v>
      </c>
      <c r="O651" s="20">
        <f ca="1">DATEDIF(Addmisson[[#This Row],[Student_DOB]],TODAY(),"y")</f>
        <v>16</v>
      </c>
      <c r="P651" s="20" t="str">
        <f>TEXT(Addmisson[[#This Row],[Admission_Date]],"mmmm")</f>
        <v>October</v>
      </c>
      <c r="Q651" s="20">
        <f>YEAR(Addmisson[[#This Row],[Admission_Date]])</f>
        <v>2026</v>
      </c>
    </row>
    <row r="652" spans="1:17" x14ac:dyDescent="0.25">
      <c r="A652" s="14" t="s">
        <v>1742</v>
      </c>
      <c r="B652" s="15">
        <v>46322</v>
      </c>
      <c r="C652" s="16" t="s">
        <v>1897</v>
      </c>
      <c r="D652" s="2" t="s">
        <v>1555</v>
      </c>
      <c r="E652" s="3">
        <v>38578</v>
      </c>
      <c r="F652" s="2" t="s">
        <v>138</v>
      </c>
      <c r="G652" s="2" t="s">
        <v>138</v>
      </c>
      <c r="H652" s="2" t="s">
        <v>138</v>
      </c>
      <c r="I652" s="2" t="s">
        <v>1055</v>
      </c>
      <c r="J652" s="2" t="s">
        <v>1055</v>
      </c>
      <c r="K652" s="2" t="s">
        <v>1560</v>
      </c>
      <c r="L652" s="17" t="s">
        <v>1567</v>
      </c>
      <c r="M652" s="5" t="s">
        <v>1576</v>
      </c>
      <c r="N652" s="19" t="s">
        <v>1578</v>
      </c>
      <c r="O652" s="20">
        <f ca="1">DATEDIF(Addmisson[[#This Row],[Student_DOB]],TODAY(),"y")</f>
        <v>21</v>
      </c>
      <c r="P652" s="20" t="str">
        <f>TEXT(Addmisson[[#This Row],[Admission_Date]],"mmmm")</f>
        <v>October</v>
      </c>
      <c r="Q652" s="20">
        <f>YEAR(Addmisson[[#This Row],[Admission_Date]])</f>
        <v>2026</v>
      </c>
    </row>
    <row r="653" spans="1:17" x14ac:dyDescent="0.25">
      <c r="A653" s="14" t="s">
        <v>1743</v>
      </c>
      <c r="B653" s="15">
        <v>46323</v>
      </c>
      <c r="C653" s="16" t="s">
        <v>1898</v>
      </c>
      <c r="D653" s="2" t="s">
        <v>1556</v>
      </c>
      <c r="E653" s="3">
        <v>39053</v>
      </c>
      <c r="F653" s="17" t="s">
        <v>14</v>
      </c>
      <c r="G653" s="17" t="s">
        <v>14</v>
      </c>
      <c r="H653" s="17" t="s">
        <v>15</v>
      </c>
      <c r="I653" s="2" t="s">
        <v>16</v>
      </c>
      <c r="J653" s="2" t="s">
        <v>1056</v>
      </c>
      <c r="K653" s="17" t="s">
        <v>1564</v>
      </c>
      <c r="L653" s="17" t="s">
        <v>1567</v>
      </c>
      <c r="M653" s="5" t="s">
        <v>1577</v>
      </c>
      <c r="N653" s="19" t="s">
        <v>1578</v>
      </c>
      <c r="O653" s="20">
        <f ca="1">DATEDIF(Addmisson[[#This Row],[Student_DOB]],TODAY(),"y")</f>
        <v>19</v>
      </c>
      <c r="P653" s="20" t="str">
        <f>TEXT(Addmisson[[#This Row],[Admission_Date]],"mmmm")</f>
        <v>October</v>
      </c>
      <c r="Q653" s="20">
        <f>YEAR(Addmisson[[#This Row],[Admission_Date]])</f>
        <v>2026</v>
      </c>
    </row>
    <row r="654" spans="1:17" x14ac:dyDescent="0.25">
      <c r="A654" s="14" t="s">
        <v>1744</v>
      </c>
      <c r="B654" s="15">
        <v>46324</v>
      </c>
      <c r="C654" s="16" t="s">
        <v>1899</v>
      </c>
      <c r="D654" s="17" t="s">
        <v>1581</v>
      </c>
      <c r="E654" s="15">
        <v>39028</v>
      </c>
      <c r="F654" s="2" t="s">
        <v>32</v>
      </c>
      <c r="G654" s="2" t="s">
        <v>32</v>
      </c>
      <c r="H654" s="2" t="s">
        <v>32</v>
      </c>
      <c r="I654" s="2" t="s">
        <v>1057</v>
      </c>
      <c r="J654" s="2" t="s">
        <v>1058</v>
      </c>
      <c r="K654" s="2" t="s">
        <v>1558</v>
      </c>
      <c r="L654" s="17" t="s">
        <v>1567</v>
      </c>
      <c r="M654" s="18" t="s">
        <v>1575</v>
      </c>
      <c r="N654" s="19" t="s">
        <v>1578</v>
      </c>
      <c r="O654" s="20">
        <f ca="1">DATEDIF(Addmisson[[#This Row],[Student_DOB]],TODAY(),"y")</f>
        <v>19</v>
      </c>
      <c r="P654" s="20" t="str">
        <f>TEXT(Addmisson[[#This Row],[Admission_Date]],"mmmm")</f>
        <v>October</v>
      </c>
      <c r="Q654" s="20">
        <f>YEAR(Addmisson[[#This Row],[Admission_Date]])</f>
        <v>2026</v>
      </c>
    </row>
    <row r="655" spans="1:17" x14ac:dyDescent="0.25">
      <c r="A655" s="14" t="s">
        <v>1745</v>
      </c>
      <c r="B655" s="15">
        <v>46325</v>
      </c>
      <c r="C655" s="16" t="s">
        <v>1900</v>
      </c>
      <c r="D655" s="2" t="s">
        <v>1541</v>
      </c>
      <c r="E655" s="3">
        <v>39674</v>
      </c>
      <c r="F655" s="2" t="s">
        <v>129</v>
      </c>
      <c r="G655" s="2" t="s">
        <v>129</v>
      </c>
      <c r="H655" s="2" t="s">
        <v>130</v>
      </c>
      <c r="I655" s="17" t="s">
        <v>1057</v>
      </c>
      <c r="J655" s="17" t="s">
        <v>1058</v>
      </c>
      <c r="K655" s="2" t="s">
        <v>1559</v>
      </c>
      <c r="L655" s="17" t="s">
        <v>1567</v>
      </c>
      <c r="M655" s="5" t="s">
        <v>1570</v>
      </c>
      <c r="N655" s="19" t="s">
        <v>1578</v>
      </c>
      <c r="O655" s="20">
        <f ca="1">DATEDIF(Addmisson[[#This Row],[Student_DOB]],TODAY(),"y")</f>
        <v>18</v>
      </c>
      <c r="P655" s="20" t="str">
        <f>TEXT(Addmisson[[#This Row],[Admission_Date]],"mmmm")</f>
        <v>October</v>
      </c>
      <c r="Q655" s="20">
        <f>YEAR(Addmisson[[#This Row],[Admission_Date]])</f>
        <v>2026</v>
      </c>
    </row>
    <row r="656" spans="1:17" x14ac:dyDescent="0.25">
      <c r="A656" s="14" t="s">
        <v>1746</v>
      </c>
      <c r="B656" s="15">
        <v>46326</v>
      </c>
      <c r="C656" s="16" t="s">
        <v>1901</v>
      </c>
      <c r="D656" s="2" t="s">
        <v>1542</v>
      </c>
      <c r="E656" s="3">
        <v>39053</v>
      </c>
      <c r="F656" s="2" t="s">
        <v>27</v>
      </c>
      <c r="G656" s="2" t="s">
        <v>27</v>
      </c>
      <c r="H656" s="2" t="s">
        <v>131</v>
      </c>
      <c r="I656" s="2" t="s">
        <v>1051</v>
      </c>
      <c r="J656" s="2" t="s">
        <v>1052</v>
      </c>
      <c r="K656" s="2" t="s">
        <v>1560</v>
      </c>
      <c r="L656" s="17" t="s">
        <v>1567</v>
      </c>
      <c r="M656" s="5" t="s">
        <v>1575</v>
      </c>
      <c r="N656" s="19" t="s">
        <v>1578</v>
      </c>
      <c r="O656" s="20">
        <f ca="1">DATEDIF(Addmisson[[#This Row],[Student_DOB]],TODAY(),"y")</f>
        <v>19</v>
      </c>
      <c r="P656" s="20" t="str">
        <f>TEXT(Addmisson[[#This Row],[Admission_Date]],"mmmm")</f>
        <v>October</v>
      </c>
      <c r="Q656" s="20">
        <f>YEAR(Addmisson[[#This Row],[Admission_Date]])</f>
        <v>2026</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Pivot Table</vt:lpstr>
      <vt:lpstr>Analysis</vt:lpstr>
      <vt:lpstr>Student Admission Data</vt:lpstr>
      <vt:lpstr>Summery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himanshi_sangani@outlook.com</dc:creator>
  <cp:lastModifiedBy>himanshi_sangani@outlook.com</cp:lastModifiedBy>
  <dcterms:created xsi:type="dcterms:W3CDTF">2026-10-14T03:20:46Z</dcterms:created>
  <dcterms:modified xsi:type="dcterms:W3CDTF">2026-10-17T11:53:05Z</dcterms:modified>
</cp:coreProperties>
</file>